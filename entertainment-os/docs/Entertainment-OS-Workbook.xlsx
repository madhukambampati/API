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olicy" sheetId="2" state="visible" r:id="rId2"/>
    <sheet xmlns:r="http://schemas.openxmlformats.org/officeDocument/2006/relationships" name="Bookings" sheetId="3" state="visible" r:id="rId3"/>
    <sheet xmlns:r="http://schemas.openxmlformats.org/officeDocument/2006/relationships" name="Budgets" sheetId="4" state="visible" r:id="rId4"/>
    <sheet xmlns:r="http://schemas.openxmlformats.org/officeDocument/2006/relationships" name="Group Ledger" sheetId="5" state="visible" r:id="rId5"/>
    <sheet xmlns:r="http://schemas.openxmlformats.org/officeDocument/2006/relationships" name="Group Balances" sheetId="6" state="visible" r:id="rId6"/>
    <sheet xmlns:r="http://schemas.openxmlformats.org/officeDocument/2006/relationships" name="Spend by Person" sheetId="7" state="visible" r:id="rId7"/>
    <sheet xmlns:r="http://schemas.openxmlformats.org/officeDocument/2006/relationships" name="Expense Reports" sheetId="8" state="visible" r:id="rId8"/>
    <sheet xmlns:r="http://schemas.openxmlformats.org/officeDocument/2006/relationships" name="Split Calculator" sheetId="9" state="visible" r:id="rId9"/>
    <sheet xmlns:r="http://schemas.openxmlformats.org/officeDocument/2006/relationships" name="Flow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$#,##0.00;($#,##0.00);&quot;-&quot;"/>
    <numFmt numFmtId="166" formatCode="0.0%;(0.0%);&quot;-&quot;"/>
  </numFmts>
  <fonts count="7">
    <font>
      <name val="Calibri"/>
      <family val="2"/>
      <color theme="1"/>
      <sz val="11"/>
      <scheme val="minor"/>
    </font>
    <font>
      <name val="Arial"/>
      <b val="1"/>
      <color rgb="002F6B3F"/>
      <sz val="16"/>
    </font>
    <font>
      <name val="Arial"/>
      <i val="1"/>
      <color rgb="00777777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6B3F"/>
      </patternFill>
    </fill>
  </fills>
  <borders count="2">
    <border>
      <left/>
      <right/>
      <top/>
      <bottom/>
      <diagonal/>
    </border>
    <border>
      <left style="thin">
        <color rgb="00D9D5CC"/>
      </left>
      <right style="thin">
        <color rgb="00D9D5CC"/>
      </right>
      <top style="thin">
        <color rgb="00D9D5CC"/>
      </top>
      <bottom style="thin">
        <color rgb="00D9D5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6" fillId="3" borderId="1" applyAlignment="1" pivotButton="0" quotePrefix="0" xfId="0">
      <alignment vertical="center" wrapText="1"/>
    </xf>
    <xf numFmtId="0" fontId="4" fillId="0" borderId="1" pivotButton="0" quotePrefix="0" xfId="0"/>
    <xf numFmtId="164" fontId="5" fillId="2" borderId="1" pivotButton="0" quotePrefix="0" xfId="0"/>
    <xf numFmtId="0" fontId="6" fillId="3" borderId="1" pivotButton="0" quotePrefix="0" xfId="0"/>
    <xf numFmtId="164" fontId="5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166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5" fontId="5" fillId="2" borderId="1" pivotButton="0" quotePrefix="0" xfId="0"/>
    <xf numFmtId="0" fontId="5" fillId="2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B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Entertainment OS</author>
  </authors>
  <commentList>
    <comment ref="B4" authorId="0" shapeId="0">
      <text>
        <t>Example value — replace with your bill total.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Entertainment OS — Operations Workbook</t>
        </is>
      </c>
    </row>
    <row r="2">
      <c r="A2" s="2" t="inlineStr">
        <is>
          <t>Northwind Partners · 2026-Q3 · generated from the demo run of the agent pipeline</t>
        </is>
      </c>
    </row>
    <row r="4">
      <c r="A4" s="3" t="inlineStr">
        <is>
          <t>Sheet</t>
        </is>
      </c>
      <c r="B4" s="4" t="inlineStr">
        <is>
          <t>What it shows</t>
        </is>
      </c>
    </row>
    <row r="5">
      <c r="A5" s="4" t="inlineStr">
        <is>
          <t>Policy</t>
        </is>
      </c>
      <c r="B5" s="4" t="inlineStr">
        <is>
          <t>Approval thresholds and per-attendee caps (inputs). Change them to re-run the approval logic on every booking.</t>
        </is>
      </c>
    </row>
    <row r="6">
      <c r="A6" s="4" t="inlineStr">
        <is>
          <t>Bookings</t>
        </is>
      </c>
      <c r="B6" s="4" t="inlineStr">
        <is>
          <t>Every booking: who booked it, category, vendor, amount, who pays, status and the approval chain the policy requires.</t>
        </is>
      </c>
    </row>
    <row r="7">
      <c r="A7" s="4" t="inlineStr">
        <is>
          <t>Budgets</t>
        </is>
      </c>
      <c r="B7" s="4" t="inlineStr">
        <is>
          <t>Department quarterly budgets vs committed company spend.</t>
        </is>
      </c>
    </row>
    <row r="8">
      <c r="A8" s="4" t="inlineStr">
        <is>
          <t>Spend by Person</t>
        </is>
      </c>
      <c r="B8" s="4" t="inlineStr">
        <is>
          <t>Who is spending how much: company-paid, reimbursable, personal, and share of family/friends group spend.</t>
        </is>
      </c>
    </row>
    <row r="9">
      <c r="A9" s="4" t="inlineStr">
        <is>
          <t>Expense Reports</t>
        </is>
      </c>
      <c r="B9" s="4" t="inlineStr">
        <is>
          <t>Personally-paid spend claimed back, with routing to Finance, HR or Benefits.</t>
        </is>
      </c>
    </row>
    <row r="10">
      <c r="A10" s="4" t="inlineStr">
        <is>
          <t>Group Ledger</t>
        </is>
      </c>
      <c r="B10" s="4" t="inlineStr">
        <is>
          <t>Family &amp; friends expenses with each member's share (Splitwise style).</t>
        </is>
      </c>
    </row>
    <row r="11">
      <c r="A11" s="4" t="inlineStr">
        <is>
          <t>Group Balances</t>
        </is>
      </c>
      <c r="B11" s="4" t="inlineStr">
        <is>
          <t>Net balance per member = paid − share ± settlements.</t>
        </is>
      </c>
    </row>
    <row r="12">
      <c r="A12" s="4" t="inlineStr">
        <is>
          <t>Split Calculator</t>
        </is>
      </c>
      <c r="B12" s="4" t="inlineStr">
        <is>
          <t>Try a split: enter an amount, pick a method and weights.</t>
        </is>
      </c>
    </row>
    <row r="13">
      <c r="A13" s="4" t="inlineStr">
        <is>
          <t>Flow</t>
        </is>
      </c>
      <c r="B13" s="4" t="inlineStr">
        <is>
          <t>Step-by-step flow of a request through the agents.</t>
        </is>
      </c>
    </row>
    <row r="14">
      <c r="A14" s="4" t="inlineStr"/>
      <c r="B14" s="4" t="inlineStr"/>
    </row>
    <row r="15">
      <c r="A15" s="3" t="inlineStr">
        <is>
          <t>Legend</t>
        </is>
      </c>
      <c r="B15" s="4" t="inlineStr"/>
    </row>
    <row r="16">
      <c r="A16" s="5" t="inlineStr">
        <is>
          <t>Blue text</t>
        </is>
      </c>
      <c r="B16" s="4" t="inlineStr">
        <is>
          <t>Hard-coded input — safe to edit.</t>
        </is>
      </c>
    </row>
    <row r="17">
      <c r="A17" s="6" t="inlineStr">
        <is>
          <t>Yellow fill</t>
        </is>
      </c>
      <c r="B17" s="4" t="inlineStr">
        <is>
          <t>Key assumption / cell you are expected to fill in.</t>
        </is>
      </c>
    </row>
    <row r="18">
      <c r="A18" s="4" t="inlineStr">
        <is>
          <t>Black text</t>
        </is>
      </c>
      <c r="B18" s="4" t="inlineStr">
        <is>
          <t>Formula — do not overwrite.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80" customWidth="1" min="3" max="3"/>
  </cols>
  <sheetData>
    <row r="1">
      <c r="A1" s="1" t="inlineStr">
        <is>
          <t>Policy inputs</t>
        </is>
      </c>
    </row>
    <row r="2">
      <c r="A2" s="2" t="inlineStr">
        <is>
          <t>Source: src/seed.js → POLICY (values set by Finance). Edit the blue cells.</t>
        </is>
      </c>
    </row>
    <row r="4">
      <c r="A4" s="7" t="inlineStr">
        <is>
          <t>Threshold</t>
        </is>
      </c>
      <c r="B4" s="7" t="inlineStr">
        <is>
          <t>Value</t>
        </is>
      </c>
      <c r="C4" s="7" t="inlineStr">
        <is>
          <t>Meaning</t>
        </is>
      </c>
    </row>
    <row r="5">
      <c r="A5" s="8" t="inlineStr">
        <is>
          <t>Auto-approve limit ($)</t>
        </is>
      </c>
      <c r="B5" s="9" t="n">
        <v>250</v>
      </c>
      <c r="C5" s="8" t="inlineStr">
        <is>
          <t>Company spend at or below this, within budget and caps, is auto-approved.</t>
        </is>
      </c>
    </row>
    <row r="6">
      <c r="A6" s="8" t="inlineStr">
        <is>
          <t>Manager limit ($)</t>
        </is>
      </c>
      <c r="B6" s="9" t="n">
        <v>2500</v>
      </c>
      <c r="C6" s="8" t="inlineStr">
        <is>
          <t>Above this the department head is added.</t>
        </is>
      </c>
    </row>
    <row r="7">
      <c r="A7" s="8" t="inlineStr">
        <is>
          <t>Department head limit ($)</t>
        </is>
      </c>
      <c r="B7" s="9" t="n">
        <v>10000</v>
      </c>
      <c r="C7" s="8" t="inlineStr">
        <is>
          <t>Above this Finance (CFO) is added.</t>
        </is>
      </c>
    </row>
    <row r="10">
      <c r="A10" s="3" t="inlineStr">
        <is>
          <t>Per-attendee caps (company spend)</t>
        </is>
      </c>
    </row>
    <row r="11">
      <c r="A11" s="10" t="inlineStr">
        <is>
          <t>Category key</t>
        </is>
      </c>
      <c r="B11" s="10" t="inlineStr">
        <is>
          <t>Cap per attendee ($)</t>
        </is>
      </c>
      <c r="C11" s="10" t="inlineStr">
        <is>
          <t>Category</t>
        </is>
      </c>
    </row>
    <row r="12">
      <c r="A12" s="8" t="inlineStr">
        <is>
          <t>reservations</t>
        </is>
      </c>
      <c r="B12" s="11" t="n">
        <v>150</v>
      </c>
      <c r="C12" s="8" t="inlineStr">
        <is>
          <t>Reservations</t>
        </is>
      </c>
    </row>
    <row r="13">
      <c r="A13" s="8" t="inlineStr">
        <is>
          <t>pdr</t>
        </is>
      </c>
      <c r="B13" s="11" t="n">
        <v>175</v>
      </c>
      <c r="C13" s="8" t="inlineStr">
        <is>
          <t>Private dining &amp; events</t>
        </is>
      </c>
    </row>
    <row r="14">
      <c r="A14" s="8" t="inlineStr">
        <is>
          <t>catering</t>
        </is>
      </c>
      <c r="B14" s="11" t="n">
        <v>60</v>
      </c>
      <c r="C14" s="8" t="inlineStr">
        <is>
          <t>Catering</t>
        </is>
      </c>
    </row>
    <row r="15">
      <c r="A15" s="8" t="inlineStr">
        <is>
          <t>sports</t>
        </is>
      </c>
      <c r="B15" s="11" t="n">
        <v>600</v>
      </c>
      <c r="C15" s="8" t="inlineStr">
        <is>
          <t>Sports &amp; live events</t>
        </is>
      </c>
    </row>
    <row r="16">
      <c r="A16" s="8" t="inlineStr">
        <is>
          <t>gifting</t>
        </is>
      </c>
      <c r="B16" s="11" t="n">
        <v>100</v>
      </c>
      <c r="C16" s="8" t="inlineStr">
        <is>
          <t>Gifting &amp; merch</t>
        </is>
      </c>
    </row>
    <row r="17">
      <c r="A17" s="8" t="inlineStr">
        <is>
          <t>experiences</t>
        </is>
      </c>
      <c r="B17" s="11" t="n">
        <v>900</v>
      </c>
      <c r="C17" s="8" t="inlineStr">
        <is>
          <t>Experiences</t>
        </is>
      </c>
    </row>
    <row r="19">
      <c r="A19" s="3" t="inlineStr">
        <is>
          <t>Compliance review categories (client-facing only)</t>
        </is>
      </c>
    </row>
    <row r="20">
      <c r="A20" s="12" t="inlineStr">
        <is>
          <t>sports</t>
        </is>
      </c>
    </row>
    <row r="21">
      <c r="A21" s="12" t="inlineStr">
        <is>
          <t>gifting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22" customWidth="1" min="4" max="4"/>
    <col width="42" customWidth="1" min="5" max="5"/>
    <col width="30" customWidth="1" min="6" max="6"/>
    <col width="15" customWidth="1" min="7" max="7"/>
    <col width="9" customWidth="1" min="8" max="8"/>
    <col width="13" customWidth="1" min="9" max="9"/>
    <col width="11" customWidth="1" min="10" max="10"/>
    <col width="8" customWidth="1" min="11" max="11"/>
    <col width="8" customWidth="1" min="12" max="12"/>
    <col width="12" customWidth="1" min="13" max="13"/>
    <col width="12" customWidth="1" min="14" max="14"/>
    <col width="9" customWidth="1" min="15" max="15"/>
    <col width="9" customWidth="1" min="16" max="16"/>
    <col width="40" customWidth="1" min="17" max="17"/>
    <col width="44" customWidth="1" min="18" max="18"/>
    <col width="16" customWidth="1" min="19" max="19"/>
    <col width="16" customWidth="1" min="20" max="20"/>
  </cols>
  <sheetData>
    <row r="1">
      <c r="A1" s="7" t="inlineStr">
        <is>
          <t>Booking</t>
        </is>
      </c>
      <c r="B1" s="7" t="inlineStr">
        <is>
          <t>Date</t>
        </is>
      </c>
      <c r="C1" s="7" t="inlineStr">
        <is>
          <t>Category key</t>
        </is>
      </c>
      <c r="D1" s="7" t="inlineStr">
        <is>
          <t>Category</t>
        </is>
      </c>
      <c r="E1" s="7" t="inlineStr">
        <is>
          <t>Title</t>
        </is>
      </c>
      <c r="F1" s="7" t="inlineStr">
        <is>
          <t>Vendor</t>
        </is>
      </c>
      <c r="G1" s="7" t="inlineStr">
        <is>
          <t>Booked by</t>
        </is>
      </c>
      <c r="H1" s="7" t="inlineStr">
        <is>
          <t>Dept</t>
        </is>
      </c>
      <c r="I1" s="7" t="inlineStr">
        <is>
          <t>Who pays</t>
        </is>
      </c>
      <c r="J1" s="7" t="inlineStr">
        <is>
          <t>Purpose</t>
        </is>
      </c>
      <c r="K1" s="7" t="inlineStr">
        <is>
          <t>Client-facing</t>
        </is>
      </c>
      <c r="L1" s="7" t="inlineStr">
        <is>
          <t>Guests</t>
        </is>
      </c>
      <c r="M1" s="7" t="inlineStr">
        <is>
          <t>Amount ($)</t>
        </is>
      </c>
      <c r="N1" s="7" t="inlineStr">
        <is>
          <t>Per attendee ($)</t>
        </is>
      </c>
      <c r="O1" s="7" t="inlineStr">
        <is>
          <t>Cap ($)</t>
        </is>
      </c>
      <c r="P1" s="7" t="inlineStr">
        <is>
          <t>Over cap?</t>
        </is>
      </c>
      <c r="Q1" s="7" t="inlineStr">
        <is>
          <t>Policy approval chain</t>
        </is>
      </c>
      <c r="R1" s="7" t="inlineStr">
        <is>
          <t>Approvals in system</t>
        </is>
      </c>
      <c r="S1" s="7" t="inlineStr">
        <is>
          <t>Status</t>
        </is>
      </c>
      <c r="T1" s="7" t="inlineStr">
        <is>
          <t>Group</t>
        </is>
      </c>
    </row>
    <row r="2">
      <c r="A2" s="8" t="inlineStr">
        <is>
          <t>BK-1001</t>
        </is>
      </c>
      <c r="B2" s="8" t="inlineStr">
        <is>
          <t>2026-09-22</t>
        </is>
      </c>
      <c r="C2" s="8" t="inlineStr">
        <is>
          <t>reservations</t>
        </is>
      </c>
      <c r="D2" s="8" t="inlineStr">
        <is>
          <t>Reservations</t>
        </is>
      </c>
      <c r="E2" s="8" t="inlineStr">
        <is>
          <t>Client dinner for 4 tonight</t>
        </is>
      </c>
      <c r="F2" s="8" t="inlineStr">
        <is>
          <t>Quince</t>
        </is>
      </c>
      <c r="G2" s="8" t="inlineStr">
        <is>
          <t>Maya Chen</t>
        </is>
      </c>
      <c r="H2" s="8" t="inlineStr">
        <is>
          <t>sales</t>
        </is>
      </c>
      <c r="I2" s="12" t="inlineStr">
        <is>
          <t>corporate</t>
        </is>
      </c>
      <c r="J2" s="8" t="inlineStr">
        <is>
          <t>business</t>
        </is>
      </c>
      <c r="K2" s="12" t="inlineStr">
        <is>
          <t>Yes</t>
        </is>
      </c>
      <c r="L2" s="12" t="n">
        <v>4</v>
      </c>
      <c r="M2" s="13" t="n">
        <v>560</v>
      </c>
      <c r="N2" s="14">
        <f>IF(L2&gt;0,M2/L2,0)</f>
        <v/>
      </c>
      <c r="O2" s="15">
        <f>IFERROR(INDEX(Policy!$B$12:$B$17,MATCH(C2,Policy!$A$12:$A$17,0)),0)</f>
        <v/>
      </c>
      <c r="P2" s="8">
        <f>IF(AND(I2="corporate",N2&gt;O2),"Yes","No")</f>
        <v/>
      </c>
      <c r="Q2" s="8">
        <f>IF(I2&lt;&gt;"corporate","None (not company money)",IF(AND(M2&lt;=Policy!$B$5,P2="No"),"Auto-approved","Manager"&amp;IF(OR(M2&gt;Policy!$B$6,P2="Yes")," → Dept head","")&amp;IF(AND(K2="Yes",OR(C2=Policy!$A$20,C2=Policy!$A$21))," → Compliance","")&amp;IF(M2&gt;Policy!$B$7," → Finance","")))</f>
        <v/>
      </c>
      <c r="R2" s="8" t="inlineStr">
        <is>
          <t>Manager (Raj Patel: pending)</t>
        </is>
      </c>
      <c r="S2" s="8" t="inlineStr">
        <is>
          <t>pending_approval</t>
        </is>
      </c>
      <c r="T2" s="8" t="inlineStr"/>
    </row>
    <row r="3">
      <c r="A3" s="8" t="inlineStr">
        <is>
          <t>BK-1002</t>
        </is>
      </c>
      <c r="B3" s="8" t="inlineStr">
        <is>
          <t>2026-10-15</t>
        </is>
      </c>
      <c r="C3" s="8" t="inlineStr">
        <is>
          <t>pdr</t>
        </is>
      </c>
      <c r="D3" s="8" t="inlineStr">
        <is>
          <t>Private dining &amp; events</t>
        </is>
      </c>
      <c r="E3" s="8" t="inlineStr">
        <is>
          <t>Private room for 30 on Oct 15 for the client summit</t>
        </is>
      </c>
      <c r="F3" s="8" t="inlineStr">
        <is>
          <t>The Morris — Private Room</t>
        </is>
      </c>
      <c r="G3" s="8" t="inlineStr">
        <is>
          <t>Raj Patel</t>
        </is>
      </c>
      <c r="H3" s="8" t="inlineStr">
        <is>
          <t>sales</t>
        </is>
      </c>
      <c r="I3" s="12" t="inlineStr">
        <is>
          <t>corporate</t>
        </is>
      </c>
      <c r="J3" s="8" t="inlineStr">
        <is>
          <t>business</t>
        </is>
      </c>
      <c r="K3" s="12" t="inlineStr">
        <is>
          <t>Yes</t>
        </is>
      </c>
      <c r="L3" s="12" t="n">
        <v>30</v>
      </c>
      <c r="M3" s="13" t="n">
        <v>4500</v>
      </c>
      <c r="N3" s="14">
        <f>IF(L3&gt;0,M3/L3,0)</f>
        <v/>
      </c>
      <c r="O3" s="15">
        <f>IFERROR(INDEX(Policy!$B$12:$B$17,MATCH(C3,Policy!$A$12:$A$17,0)),0)</f>
        <v/>
      </c>
      <c r="P3" s="8">
        <f>IF(AND(I3="corporate",N3&gt;O3),"Yes","No")</f>
        <v/>
      </c>
      <c r="Q3" s="8">
        <f>IF(I3&lt;&gt;"corporate","None (not company money)",IF(AND(M3&lt;=Policy!$B$5,P3="No"),"Auto-approved","Manager"&amp;IF(OR(M3&gt;Policy!$B$6,P3="Yes")," → Dept head","")&amp;IF(AND(K3="Yes",OR(C3=Policy!$A$20,C3=Policy!$A$21))," → Compliance","")&amp;IF(M3&gt;Policy!$B$7," → Finance","")))</f>
        <v/>
      </c>
      <c r="R3" s="8" t="inlineStr">
        <is>
          <t>Manager (Elena Brooks: approved)</t>
        </is>
      </c>
      <c r="S3" s="8" t="inlineStr">
        <is>
          <t>confirmed</t>
        </is>
      </c>
      <c r="T3" s="8" t="inlineStr"/>
    </row>
    <row r="4">
      <c r="A4" s="8" t="inlineStr">
        <is>
          <t>BK-1003</t>
        </is>
      </c>
      <c r="B4" s="8" t="inlineStr">
        <is>
          <t>2026-10-02</t>
        </is>
      </c>
      <c r="C4" s="8" t="inlineStr">
        <is>
          <t>catering</t>
        </is>
      </c>
      <c r="D4" s="8" t="inlineStr">
        <is>
          <t>Catering</t>
        </is>
      </c>
      <c r="E4" s="8" t="inlineStr">
        <is>
          <t>Offsite lunch catering for 120 people on Oct 2</t>
        </is>
      </c>
      <c r="F4" s="8" t="inlineStr">
        <is>
          <t>Bi-Rite Catering</t>
        </is>
      </c>
      <c r="G4" s="8" t="inlineStr">
        <is>
          <t>Kim Nguyen</t>
        </is>
      </c>
      <c r="H4" s="8" t="inlineStr">
        <is>
          <t>people</t>
        </is>
      </c>
      <c r="I4" s="12" t="inlineStr">
        <is>
          <t>corporate</t>
        </is>
      </c>
      <c r="J4" s="8" t="inlineStr">
        <is>
          <t>morale</t>
        </is>
      </c>
      <c r="K4" s="12" t="inlineStr">
        <is>
          <t>No</t>
        </is>
      </c>
      <c r="L4" s="12" t="n">
        <v>120</v>
      </c>
      <c r="M4" s="13" t="n">
        <v>4560</v>
      </c>
      <c r="N4" s="14">
        <f>IF(L4&gt;0,M4/L4,0)</f>
        <v/>
      </c>
      <c r="O4" s="15">
        <f>IFERROR(INDEX(Policy!$B$12:$B$17,MATCH(C4,Policy!$A$12:$A$17,0)),0)</f>
        <v/>
      </c>
      <c r="P4" s="8">
        <f>IF(AND(I4="corporate",N4&gt;O4),"Yes","No")</f>
        <v/>
      </c>
      <c r="Q4" s="8">
        <f>IF(I4&lt;&gt;"corporate","None (not company money)",IF(AND(M4&lt;=Policy!$B$5,P4="No"),"Auto-approved","Manager"&amp;IF(OR(M4&gt;Policy!$B$6,P4="Yes")," → Dept head","")&amp;IF(AND(K4="Yes",OR(C4=Policy!$A$20,C4=Policy!$A$21))," → Compliance","")&amp;IF(M4&gt;Policy!$B$7," → Finance","")))</f>
        <v/>
      </c>
      <c r="R4" s="8" t="inlineStr">
        <is>
          <t>Manager (Sam Okafor: approved)</t>
        </is>
      </c>
      <c r="S4" s="8" t="inlineStr">
        <is>
          <t>confirmed</t>
        </is>
      </c>
      <c r="T4" s="8" t="inlineStr"/>
    </row>
    <row r="5">
      <c r="A5" s="8" t="inlineStr">
        <is>
          <t>BK-1004</t>
        </is>
      </c>
      <c r="B5" s="8" t="inlineStr">
        <is>
          <t>2026-11-04</t>
        </is>
      </c>
      <c r="C5" s="8" t="inlineStr">
        <is>
          <t>sports</t>
        </is>
      </c>
      <c r="D5" s="8" t="inlineStr">
        <is>
          <t>Sports &amp; live events</t>
        </is>
      </c>
      <c r="E5" s="8" t="inlineStr">
        <is>
          <t>Suite at the Warriors game for 12 clients Nov 4</t>
        </is>
      </c>
      <c r="F5" s="8" t="inlineStr">
        <is>
          <t>Chase Center — Warriors Suite</t>
        </is>
      </c>
      <c r="G5" s="8" t="inlineStr">
        <is>
          <t>Elena Brooks</t>
        </is>
      </c>
      <c r="H5" s="8" t="inlineStr">
        <is>
          <t>sales</t>
        </is>
      </c>
      <c r="I5" s="12" t="inlineStr">
        <is>
          <t>corporate</t>
        </is>
      </c>
      <c r="J5" s="8" t="inlineStr">
        <is>
          <t>business</t>
        </is>
      </c>
      <c r="K5" s="12" t="inlineStr">
        <is>
          <t>Yes</t>
        </is>
      </c>
      <c r="L5" s="12" t="n">
        <v>12</v>
      </c>
      <c r="M5" s="13" t="n">
        <v>6600</v>
      </c>
      <c r="N5" s="14">
        <f>IF(L5&gt;0,M5/L5,0)</f>
        <v/>
      </c>
      <c r="O5" s="15">
        <f>IFERROR(INDEX(Policy!$B$12:$B$17,MATCH(C5,Policy!$A$12:$A$17,0)),0)</f>
        <v/>
      </c>
      <c r="P5" s="8">
        <f>IF(AND(I5="corporate",N5&gt;O5),"Yes","No")</f>
        <v/>
      </c>
      <c r="Q5" s="8">
        <f>IF(I5&lt;&gt;"corporate","None (not company money)",IF(AND(M5&lt;=Policy!$B$5,P5="No"),"Auto-approved","Manager"&amp;IF(OR(M5&gt;Policy!$B$6,P5="Yes")," → Dept head","")&amp;IF(AND(K5="Yes",OR(C5=Policy!$A$20,C5=Policy!$A$21))," → Compliance","")&amp;IF(M5&gt;Policy!$B$7," → Finance","")))</f>
        <v/>
      </c>
      <c r="R5" s="8" t="inlineStr">
        <is>
          <t>Manager (Sam Okafor: approved) → Compliance (Ivy Walsh: pending)</t>
        </is>
      </c>
      <c r="S5" s="8" t="inlineStr">
        <is>
          <t>pending_approval</t>
        </is>
      </c>
      <c r="T5" s="8" t="inlineStr"/>
    </row>
    <row r="6">
      <c r="A6" s="8" t="inlineStr">
        <is>
          <t>BK-1005</t>
        </is>
      </c>
      <c r="B6" s="8" t="inlineStr">
        <is>
          <t>2026-12-01</t>
        </is>
      </c>
      <c r="C6" s="8" t="inlineStr">
        <is>
          <t>gifting</t>
        </is>
      </c>
      <c r="D6" s="8" t="inlineStr">
        <is>
          <t>Gifting &amp; merch</t>
        </is>
      </c>
      <c r="E6" s="8" t="inlineStr">
        <is>
          <t>Holiday gifts for 40 clients Dec 1</t>
        </is>
      </c>
      <c r="F6" s="8" t="inlineStr">
        <is>
          <t>Goldbelly Gift Boxes</t>
        </is>
      </c>
      <c r="G6" s="8" t="inlineStr">
        <is>
          <t>Maya Chen</t>
        </is>
      </c>
      <c r="H6" s="8" t="inlineStr">
        <is>
          <t>sales</t>
        </is>
      </c>
      <c r="I6" s="12" t="inlineStr">
        <is>
          <t>corporate</t>
        </is>
      </c>
      <c r="J6" s="8" t="inlineStr">
        <is>
          <t>business</t>
        </is>
      </c>
      <c r="K6" s="12" t="inlineStr">
        <is>
          <t>Yes</t>
        </is>
      </c>
      <c r="L6" s="12" t="n">
        <v>40</v>
      </c>
      <c r="M6" s="13" t="n">
        <v>3400</v>
      </c>
      <c r="N6" s="14">
        <f>IF(L6&gt;0,M6/L6,0)</f>
        <v/>
      </c>
      <c r="O6" s="15">
        <f>IFERROR(INDEX(Policy!$B$12:$B$17,MATCH(C6,Policy!$A$12:$A$17,0)),0)</f>
        <v/>
      </c>
      <c r="P6" s="8">
        <f>IF(AND(I6="corporate",N6&gt;O6),"Yes","No")</f>
        <v/>
      </c>
      <c r="Q6" s="8">
        <f>IF(I6&lt;&gt;"corporate","None (not company money)",IF(AND(M6&lt;=Policy!$B$5,P6="No"),"Auto-approved","Manager"&amp;IF(OR(M6&gt;Policy!$B$6,P6="Yes")," → Dept head","")&amp;IF(AND(K6="Yes",OR(C6=Policy!$A$20,C6=Policy!$A$21))," → Compliance","")&amp;IF(M6&gt;Policy!$B$7," → Finance","")))</f>
        <v/>
      </c>
      <c r="R6" s="8" t="inlineStr">
        <is>
          <t>Manager (Raj Patel: pending) → Department head (Elena Brooks: pending) → Compliance (Ivy Walsh: pending)</t>
        </is>
      </c>
      <c r="S6" s="8" t="inlineStr">
        <is>
          <t>pending_approval</t>
        </is>
      </c>
      <c r="T6" s="8" t="inlineStr"/>
    </row>
    <row r="7">
      <c r="A7" s="8" t="inlineStr">
        <is>
          <t>BK-1006</t>
        </is>
      </c>
      <c r="B7" s="8" t="inlineStr">
        <is>
          <t>2026-10-20</t>
        </is>
      </c>
      <c r="C7" s="8" t="inlineStr">
        <is>
          <t>experiences</t>
        </is>
      </c>
      <c r="D7" s="8" t="inlineStr">
        <is>
          <t>Experiences</t>
        </is>
      </c>
      <c r="E7" s="8" t="inlineStr">
        <is>
          <t>Team offsite in Napa for 8 on Oct 20</t>
        </is>
      </c>
      <c r="F7" s="8" t="inlineStr">
        <is>
          <t>Napa Valley Wine Retreat</t>
        </is>
      </c>
      <c r="G7" s="8" t="inlineStr">
        <is>
          <t>Ana Ruiz</t>
        </is>
      </c>
      <c r="H7" s="8" t="inlineStr">
        <is>
          <t>product</t>
        </is>
      </c>
      <c r="I7" s="12" t="inlineStr">
        <is>
          <t>corporate</t>
        </is>
      </c>
      <c r="J7" s="8" t="inlineStr">
        <is>
          <t>morale</t>
        </is>
      </c>
      <c r="K7" s="12" t="inlineStr">
        <is>
          <t>No</t>
        </is>
      </c>
      <c r="L7" s="12" t="n">
        <v>8</v>
      </c>
      <c r="M7" s="13" t="n">
        <v>3600</v>
      </c>
      <c r="N7" s="14">
        <f>IF(L7&gt;0,M7/L7,0)</f>
        <v/>
      </c>
      <c r="O7" s="15">
        <f>IFERROR(INDEX(Policy!$B$12:$B$17,MATCH(C7,Policy!$A$12:$A$17,0)),0)</f>
        <v/>
      </c>
      <c r="P7" s="8">
        <f>IF(AND(I7="corporate",N7&gt;O7),"Yes","No")</f>
        <v/>
      </c>
      <c r="Q7" s="8">
        <f>IF(I7&lt;&gt;"corporate","None (not company money)",IF(AND(M7&lt;=Policy!$B$5,P7="No"),"Auto-approved","Manager"&amp;IF(OR(M7&gt;Policy!$B$6,P7="Yes")," → Dept head","")&amp;IF(AND(K7="Yes",OR(C7=Policy!$A$20,C7=Policy!$A$21))," → Compliance","")&amp;IF(M7&gt;Policy!$B$7," → Finance","")))</f>
        <v/>
      </c>
      <c r="R7" s="8" t="inlineStr">
        <is>
          <t>Manager (Sam Okafor: approved)</t>
        </is>
      </c>
      <c r="S7" s="8" t="inlineStr">
        <is>
          <t>confirmed</t>
        </is>
      </c>
      <c r="T7" s="8" t="inlineStr"/>
    </row>
    <row r="8">
      <c r="A8" s="8" t="inlineStr">
        <is>
          <t>BK-1007</t>
        </is>
      </c>
      <c r="B8" s="8" t="inlineStr">
        <is>
          <t>2026-09-25</t>
        </is>
      </c>
      <c r="C8" s="8" t="inlineStr">
        <is>
          <t>reservations</t>
        </is>
      </c>
      <c r="D8" s="8" t="inlineStr">
        <is>
          <t>Reservations</t>
        </is>
      </c>
      <c r="E8" s="8" t="inlineStr">
        <is>
          <t>Team drinks for 3 Friday</t>
        </is>
      </c>
      <c r="F8" s="8" t="inlineStr">
        <is>
          <t>Quince</t>
        </is>
      </c>
      <c r="G8" s="8" t="inlineStr">
        <is>
          <t>Leo Martins</t>
        </is>
      </c>
      <c r="H8" s="8" t="inlineStr">
        <is>
          <t>product</t>
        </is>
      </c>
      <c r="I8" s="12" t="inlineStr">
        <is>
          <t>corporate</t>
        </is>
      </c>
      <c r="J8" s="8" t="inlineStr">
        <is>
          <t>morale</t>
        </is>
      </c>
      <c r="K8" s="12" t="inlineStr">
        <is>
          <t>No</t>
        </is>
      </c>
      <c r="L8" s="12" t="n">
        <v>3</v>
      </c>
      <c r="M8" s="13" t="n">
        <v>420</v>
      </c>
      <c r="N8" s="14">
        <f>IF(L8&gt;0,M8/L8,0)</f>
        <v/>
      </c>
      <c r="O8" s="15">
        <f>IFERROR(INDEX(Policy!$B$12:$B$17,MATCH(C8,Policy!$A$12:$A$17,0)),0)</f>
        <v/>
      </c>
      <c r="P8" s="8">
        <f>IF(AND(I8="corporate",N8&gt;O8),"Yes","No")</f>
        <v/>
      </c>
      <c r="Q8" s="8">
        <f>IF(I8&lt;&gt;"corporate","None (not company money)",IF(AND(M8&lt;=Policy!$B$5,P8="No"),"Auto-approved","Manager"&amp;IF(OR(M8&gt;Policy!$B$6,P8="Yes")," → Dept head","")&amp;IF(AND(K8="Yes",OR(C8=Policy!$A$20,C8=Policy!$A$21))," → Compliance","")&amp;IF(M8&gt;Policy!$B$7," → Finance","")))</f>
        <v/>
      </c>
      <c r="R8" s="8" t="inlineStr">
        <is>
          <t>Manager (Ana Ruiz: pending)</t>
        </is>
      </c>
      <c r="S8" s="8" t="inlineStr">
        <is>
          <t>pending_approval</t>
        </is>
      </c>
      <c r="T8" s="8" t="inlineStr"/>
    </row>
    <row r="9">
      <c r="A9" s="8" t="inlineStr">
        <is>
          <t>BK-1008</t>
        </is>
      </c>
      <c r="B9" s="8" t="inlineStr">
        <is>
          <t>2026-09-26</t>
        </is>
      </c>
      <c r="C9" s="8" t="inlineStr">
        <is>
          <t>reservations</t>
        </is>
      </c>
      <c r="D9" s="8" t="inlineStr">
        <is>
          <t>Reservations</t>
        </is>
      </c>
      <c r="E9" s="8" t="inlineStr">
        <is>
          <t>Dinner with my family Saturday — split with the family</t>
        </is>
      </c>
      <c r="F9" s="8" t="inlineStr">
        <is>
          <t>Quince</t>
        </is>
      </c>
      <c r="G9" s="8" t="inlineStr">
        <is>
          <t>Maya Chen</t>
        </is>
      </c>
      <c r="H9" s="8" t="inlineStr">
        <is>
          <t>sales</t>
        </is>
      </c>
      <c r="I9" s="12" t="inlineStr">
        <is>
          <t>shared</t>
        </is>
      </c>
      <c r="J9" s="8" t="inlineStr">
        <is>
          <t>personal</t>
        </is>
      </c>
      <c r="K9" s="12" t="inlineStr">
        <is>
          <t>No</t>
        </is>
      </c>
      <c r="L9" s="12" t="n">
        <v>3</v>
      </c>
      <c r="M9" s="13" t="n">
        <v>420</v>
      </c>
      <c r="N9" s="14">
        <f>IF(L9&gt;0,M9/L9,0)</f>
        <v/>
      </c>
      <c r="O9" s="15">
        <f>IFERROR(INDEX(Policy!$B$12:$B$17,MATCH(C9,Policy!$A$12:$A$17,0)),0)</f>
        <v/>
      </c>
      <c r="P9" s="8">
        <f>IF(AND(I9="corporate",N9&gt;O9),"Yes","No")</f>
        <v/>
      </c>
      <c r="Q9" s="8">
        <f>IF(I9&lt;&gt;"corporate","None (not company money)",IF(AND(M9&lt;=Policy!$B$5,P9="No"),"Auto-approved","Manager"&amp;IF(OR(M9&gt;Policy!$B$6,P9="Yes")," → Dept head","")&amp;IF(AND(K9="Yes",OR(C9=Policy!$A$20,C9=Policy!$A$21))," → Compliance","")&amp;IF(M9&gt;Policy!$B$7," → Finance","")))</f>
        <v/>
      </c>
      <c r="R9" s="8" t="inlineStr">
        <is>
          <t>None</t>
        </is>
      </c>
      <c r="S9" s="8" t="inlineStr">
        <is>
          <t>confirmed</t>
        </is>
      </c>
      <c r="T9" s="8" t="inlineStr">
        <is>
          <t>Chen family</t>
        </is>
      </c>
    </row>
    <row r="10">
      <c r="A10" s="8" t="inlineStr">
        <is>
          <t>BK-1009</t>
        </is>
      </c>
      <c r="B10" s="8" t="inlineStr">
        <is>
          <t>2026-09-27</t>
        </is>
      </c>
      <c r="C10" s="8" t="inlineStr">
        <is>
          <t>sports</t>
        </is>
      </c>
      <c r="D10" s="8" t="inlineStr">
        <is>
          <t>Sports &amp; live events</t>
        </is>
      </c>
      <c r="E10" s="8" t="inlineStr">
        <is>
          <t>Giants game tickets with friends for 4 Sunday, split</t>
        </is>
      </c>
      <c r="F10" s="8" t="inlineStr">
        <is>
          <t>Oracle Park — Giants Club Seats</t>
        </is>
      </c>
      <c r="G10" s="8" t="inlineStr">
        <is>
          <t>Leo Martins</t>
        </is>
      </c>
      <c r="H10" s="8" t="inlineStr">
        <is>
          <t>product</t>
        </is>
      </c>
      <c r="I10" s="12" t="inlineStr">
        <is>
          <t>shared</t>
        </is>
      </c>
      <c r="J10" s="8" t="inlineStr">
        <is>
          <t>personal</t>
        </is>
      </c>
      <c r="K10" s="12" t="inlineStr">
        <is>
          <t>No</t>
        </is>
      </c>
      <c r="L10" s="12" t="n">
        <v>4</v>
      </c>
      <c r="M10" s="13" t="n">
        <v>720</v>
      </c>
      <c r="N10" s="14">
        <f>IF(L10&gt;0,M10/L10,0)</f>
        <v/>
      </c>
      <c r="O10" s="15">
        <f>IFERROR(INDEX(Policy!$B$12:$B$17,MATCH(C10,Policy!$A$12:$A$17,0)),0)</f>
        <v/>
      </c>
      <c r="P10" s="8">
        <f>IF(AND(I10="corporate",N10&gt;O10),"Yes","No")</f>
        <v/>
      </c>
      <c r="Q10" s="8">
        <f>IF(I10&lt;&gt;"corporate","None (not company money)",IF(AND(M10&lt;=Policy!$B$5,P10="No"),"Auto-approved","Manager"&amp;IF(OR(M10&gt;Policy!$B$6,P10="Yes")," → Dept head","")&amp;IF(AND(K10="Yes",OR(C10=Policy!$A$20,C10=Policy!$A$21))," → Compliance","")&amp;IF(M10&gt;Policy!$B$7," → Finance","")))</f>
        <v/>
      </c>
      <c r="R10" s="8" t="inlineStr">
        <is>
          <t>None</t>
        </is>
      </c>
      <c r="S10" s="8" t="inlineStr">
        <is>
          <t>confirmed</t>
        </is>
      </c>
      <c r="T10" s="8" t="inlineStr">
        <is>
          <t>Weekend crew</t>
        </is>
      </c>
    </row>
    <row r="11">
      <c r="A11" s="8" t="inlineStr">
        <is>
          <t>BK-1010</t>
        </is>
      </c>
      <c r="B11" s="8" t="inlineStr">
        <is>
          <t>2026-09-23</t>
        </is>
      </c>
      <c r="C11" s="8" t="inlineStr">
        <is>
          <t>reservations</t>
        </is>
      </c>
      <c r="D11" s="8" t="inlineStr">
        <is>
          <t>Reservations</t>
        </is>
      </c>
      <c r="E11" s="8" t="inlineStr">
        <is>
          <t>Client lunch for 2 tomorrow, I will pay and expense it</t>
        </is>
      </c>
      <c r="F11" s="8" t="inlineStr">
        <is>
          <t>Quince</t>
        </is>
      </c>
      <c r="G11" s="8" t="inlineStr">
        <is>
          <t>Maya Chen</t>
        </is>
      </c>
      <c r="H11" s="8" t="inlineStr">
        <is>
          <t>sales</t>
        </is>
      </c>
      <c r="I11" s="12" t="inlineStr">
        <is>
          <t>reimbursable</t>
        </is>
      </c>
      <c r="J11" s="8" t="inlineStr">
        <is>
          <t>business</t>
        </is>
      </c>
      <c r="K11" s="12" t="inlineStr">
        <is>
          <t>Yes</t>
        </is>
      </c>
      <c r="L11" s="12" t="n">
        <v>2</v>
      </c>
      <c r="M11" s="13" t="n">
        <v>280</v>
      </c>
      <c r="N11" s="14">
        <f>IF(L11&gt;0,M11/L11,0)</f>
        <v/>
      </c>
      <c r="O11" s="15">
        <f>IFERROR(INDEX(Policy!$B$12:$B$17,MATCH(C11,Policy!$A$12:$A$17,0)),0)</f>
        <v/>
      </c>
      <c r="P11" s="8">
        <f>IF(AND(I11="corporate",N11&gt;O11),"Yes","No")</f>
        <v/>
      </c>
      <c r="Q11" s="8">
        <f>IF(I11&lt;&gt;"corporate","None (not company money)",IF(AND(M11&lt;=Policy!$B$5,P11="No"),"Auto-approved","Manager"&amp;IF(OR(M11&gt;Policy!$B$6,P11="Yes")," → Dept head","")&amp;IF(AND(K11="Yes",OR(C11=Policy!$A$20,C11=Policy!$A$21))," → Compliance","")&amp;IF(M11&gt;Policy!$B$7," → Finance","")))</f>
        <v/>
      </c>
      <c r="R11" s="8" t="inlineStr">
        <is>
          <t>None</t>
        </is>
      </c>
      <c r="S11" s="8" t="inlineStr">
        <is>
          <t>confirmed</t>
        </is>
      </c>
      <c r="T11" s="8" t="inlineStr"/>
    </row>
    <row r="12">
      <c r="A12" s="8" t="inlineStr">
        <is>
          <t>BK-1011</t>
        </is>
      </c>
      <c r="B12" s="8" t="inlineStr">
        <is>
          <t>2026-10-05</t>
        </is>
      </c>
      <c r="C12" s="8" t="inlineStr">
        <is>
          <t>experiences</t>
        </is>
      </c>
      <c r="D12" s="8" t="inlineStr">
        <is>
          <t>Experiences</t>
        </is>
      </c>
      <c r="E12" s="8" t="inlineStr">
        <is>
          <t>Spa day wellbeing stipend, reimburse me, for 1 Oct 5</t>
        </is>
      </c>
      <c r="F12" s="8" t="inlineStr">
        <is>
          <t>Napa Valley Wine Retreat</t>
        </is>
      </c>
      <c r="G12" s="8" t="inlineStr">
        <is>
          <t>Leo Martins</t>
        </is>
      </c>
      <c r="H12" s="8" t="inlineStr">
        <is>
          <t>product</t>
        </is>
      </c>
      <c r="I12" s="12" t="inlineStr">
        <is>
          <t>reimbursable</t>
        </is>
      </c>
      <c r="J12" s="8" t="inlineStr">
        <is>
          <t>wellbeing</t>
        </is>
      </c>
      <c r="K12" s="12" t="inlineStr">
        <is>
          <t>No</t>
        </is>
      </c>
      <c r="L12" s="12" t="n">
        <v>1</v>
      </c>
      <c r="M12" s="13" t="n">
        <v>450</v>
      </c>
      <c r="N12" s="14">
        <f>IF(L12&gt;0,M12/L12,0)</f>
        <v/>
      </c>
      <c r="O12" s="15">
        <f>IFERROR(INDEX(Policy!$B$12:$B$17,MATCH(C12,Policy!$A$12:$A$17,0)),0)</f>
        <v/>
      </c>
      <c r="P12" s="8">
        <f>IF(AND(I12="corporate",N12&gt;O12),"Yes","No")</f>
        <v/>
      </c>
      <c r="Q12" s="8">
        <f>IF(I12&lt;&gt;"corporate","None (not company money)",IF(AND(M12&lt;=Policy!$B$5,P12="No"),"Auto-approved","Manager"&amp;IF(OR(M12&gt;Policy!$B$6,P12="Yes")," → Dept head","")&amp;IF(AND(K12="Yes",OR(C12=Policy!$A$20,C12=Policy!$A$21))," → Compliance","")&amp;IF(M12&gt;Policy!$B$7," → Finance","")))</f>
        <v/>
      </c>
      <c r="R12" s="8" t="inlineStr">
        <is>
          <t>None</t>
        </is>
      </c>
      <c r="S12" s="8" t="inlineStr">
        <is>
          <t>confirmed</t>
        </is>
      </c>
      <c r="T12" s="8" t="inlineStr"/>
    </row>
    <row r="14">
      <c r="A14" s="2" t="inlineStr">
        <is>
          <t>Note: column Q applies the Policy sheet thresholds. Column R is what the agents recorded; it also skips self-approval (an approver who is the requester is replaced by their manager) and adds Finance when a department budget is exceeded.</t>
        </is>
      </c>
    </row>
  </sheetData>
  <conditionalFormatting sqref="P2:P12">
    <cfRule type="cellIs" priority="1" operator="equal" dxfId="0">
      <formula>"Yes"</formula>
    </cfRule>
  </conditionalFormatting>
  <dataValidations count="1">
    <dataValidation sqref="I2:I12" showDropDown="0" showInputMessage="0" showErrorMessage="0" allowBlank="0" type="list">
      <formula1>"corporate,reimbursable,personal,shared"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2" customWidth="1" min="3" max="3"/>
    <col width="18" customWidth="1" min="4" max="4"/>
    <col width="18" customWidth="1" min="5" max="5"/>
    <col width="16" customWidth="1" min="6" max="6"/>
    <col width="16" customWidth="1" min="7" max="7"/>
    <col width="12" customWidth="1" min="8" max="8"/>
  </cols>
  <sheetData>
    <row r="1">
      <c r="A1" s="7" t="inlineStr">
        <is>
          <t>Dept key</t>
        </is>
      </c>
      <c r="B1" s="7" t="inlineStr">
        <is>
          <t>Department</t>
        </is>
      </c>
      <c r="C1" s="7" t="inlineStr">
        <is>
          <t>Cost center</t>
        </is>
      </c>
      <c r="D1" s="7" t="inlineStr">
        <is>
          <t>Budget owner</t>
        </is>
      </c>
      <c r="E1" s="7" t="inlineStr">
        <is>
          <t>Quarterly budget ($)</t>
        </is>
      </c>
      <c r="F1" s="7" t="inlineStr">
        <is>
          <t>Committed ($)</t>
        </is>
      </c>
      <c r="G1" s="7" t="inlineStr">
        <is>
          <t>Remaining ($)</t>
        </is>
      </c>
      <c r="H1" s="7" t="inlineStr">
        <is>
          <t>Utilisation</t>
        </is>
      </c>
    </row>
    <row r="2">
      <c r="A2" s="8" t="inlineStr">
        <is>
          <t>sales</t>
        </is>
      </c>
      <c r="B2" s="8" t="inlineStr">
        <is>
          <t>Sales</t>
        </is>
      </c>
      <c r="C2" s="8" t="inlineStr">
        <is>
          <t>CC-4100</t>
        </is>
      </c>
      <c r="D2" s="8" t="inlineStr">
        <is>
          <t>Elena Brooks</t>
        </is>
      </c>
      <c r="E2" s="9" t="n">
        <v>60000</v>
      </c>
      <c r="F2" s="15">
        <f>SUMIFS(Bookings!$M$2:$M$12,Bookings!$H$2:$H$12,A2,Bookings!$I$2:$I$12,"corporate",Bookings!$S$2:$S$12,"pending_approval") + SUMIFS(Bookings!$M$2:$M$12,Bookings!$H$2:$H$12,A2,Bookings!$I$2:$I$12,"corporate",Bookings!$S$2:$S$12,"approved") + SUMIFS(Bookings!$M$2:$M$12,Bookings!$H$2:$H$12,A2,Bookings!$I$2:$I$12,"corporate",Bookings!$S$2:$S$12,"confirmed")</f>
        <v/>
      </c>
      <c r="G2" s="15">
        <f>E2-F2</f>
        <v/>
      </c>
      <c r="H2" s="16">
        <f>IF(E2&gt;0,F2/E2,0)</f>
        <v/>
      </c>
    </row>
    <row r="3">
      <c r="A3" s="8" t="inlineStr">
        <is>
          <t>product</t>
        </is>
      </c>
      <c r="B3" s="8" t="inlineStr">
        <is>
          <t>Product</t>
        </is>
      </c>
      <c r="C3" s="8" t="inlineStr">
        <is>
          <t>CC-5200</t>
        </is>
      </c>
      <c r="D3" s="8" t="inlineStr">
        <is>
          <t>Ana Ruiz</t>
        </is>
      </c>
      <c r="E3" s="9" t="n">
        <v>25000</v>
      </c>
      <c r="F3" s="15">
        <f>SUMIFS(Bookings!$M$2:$M$12,Bookings!$H$2:$H$12,A3,Bookings!$I$2:$I$12,"corporate",Bookings!$S$2:$S$12,"pending_approval") + SUMIFS(Bookings!$M$2:$M$12,Bookings!$H$2:$H$12,A3,Bookings!$I$2:$I$12,"corporate",Bookings!$S$2:$S$12,"approved") + SUMIFS(Bookings!$M$2:$M$12,Bookings!$H$2:$H$12,A3,Bookings!$I$2:$I$12,"corporate",Bookings!$S$2:$S$12,"confirmed")</f>
        <v/>
      </c>
      <c r="G3" s="15">
        <f>E3-F3</f>
        <v/>
      </c>
      <c r="H3" s="16">
        <f>IF(E3&gt;0,F3/E3,0)</f>
        <v/>
      </c>
    </row>
    <row r="4">
      <c r="A4" s="8" t="inlineStr">
        <is>
          <t>people</t>
        </is>
      </c>
      <c r="B4" s="8" t="inlineStr">
        <is>
          <t>People (HR &amp; Benefits)</t>
        </is>
      </c>
      <c r="C4" s="8" t="inlineStr">
        <is>
          <t>CC-7100</t>
        </is>
      </c>
      <c r="D4" s="8" t="inlineStr">
        <is>
          <t>Kim Nguyen</t>
        </is>
      </c>
      <c r="E4" s="9" t="n">
        <v>40000</v>
      </c>
      <c r="F4" s="15">
        <f>SUMIFS(Bookings!$M$2:$M$12,Bookings!$H$2:$H$12,A4,Bookings!$I$2:$I$12,"corporate",Bookings!$S$2:$S$12,"pending_approval") + SUMIFS(Bookings!$M$2:$M$12,Bookings!$H$2:$H$12,A4,Bookings!$I$2:$I$12,"corporate",Bookings!$S$2:$S$12,"approved") + SUMIFS(Bookings!$M$2:$M$12,Bookings!$H$2:$H$12,A4,Bookings!$I$2:$I$12,"corporate",Bookings!$S$2:$S$12,"confirmed")</f>
        <v/>
      </c>
      <c r="G4" s="15">
        <f>E4-F4</f>
        <v/>
      </c>
      <c r="H4" s="16">
        <f>IF(E4&gt;0,F4/E4,0)</f>
        <v/>
      </c>
    </row>
    <row r="5">
      <c r="A5" s="8" t="inlineStr">
        <is>
          <t>finance</t>
        </is>
      </c>
      <c r="B5" s="8" t="inlineStr">
        <is>
          <t>Finance</t>
        </is>
      </c>
      <c r="C5" s="8" t="inlineStr">
        <is>
          <t>CC-9000</t>
        </is>
      </c>
      <c r="D5" s="8" t="inlineStr">
        <is>
          <t>Sam Okafor</t>
        </is>
      </c>
      <c r="E5" s="9" t="n">
        <v>15000</v>
      </c>
      <c r="F5" s="15">
        <f>SUMIFS(Bookings!$M$2:$M$12,Bookings!$H$2:$H$12,A5,Bookings!$I$2:$I$12,"corporate",Bookings!$S$2:$S$12,"pending_approval") + SUMIFS(Bookings!$M$2:$M$12,Bookings!$H$2:$H$12,A5,Bookings!$I$2:$I$12,"corporate",Bookings!$S$2:$S$12,"approved") + SUMIFS(Bookings!$M$2:$M$12,Bookings!$H$2:$H$12,A5,Bookings!$I$2:$I$12,"corporate",Bookings!$S$2:$S$12,"confirmed")</f>
        <v/>
      </c>
      <c r="G5" s="15">
        <f>E5-F5</f>
        <v/>
      </c>
      <c r="H5" s="16">
        <f>IF(E5&gt;0,F5/E5,0)</f>
        <v/>
      </c>
    </row>
    <row r="6">
      <c r="B6" s="17" t="inlineStr">
        <is>
          <t>Total</t>
        </is>
      </c>
      <c r="E6" s="18">
        <f>SUM(E2:E5)</f>
        <v/>
      </c>
      <c r="F6" s="18">
        <f>SUM(F2:F5)</f>
        <v/>
      </c>
      <c r="G6" s="18">
        <f>SUM(G2:G5)</f>
        <v/>
      </c>
      <c r="H6" s="19">
        <f>IF(E6&gt;0,F6/E6,0)</f>
        <v/>
      </c>
    </row>
    <row r="8">
      <c r="A8" s="2" t="inlineStr">
        <is>
          <t>Committed = company-paid bookings awaiting approval, approved or confirmed (Bookings sheet).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44" customWidth="1" min="4" max="4"/>
    <col width="14" customWidth="1" min="5" max="5"/>
    <col width="12" customWidth="1" min="6" max="6"/>
    <col width="9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" customWidth="1" min="14" max="14"/>
  </cols>
  <sheetData>
    <row r="1">
      <c r="A1" s="7" t="inlineStr">
        <is>
          <t>Expense</t>
        </is>
      </c>
      <c r="B1" s="7" t="inlineStr">
        <is>
          <t>Date</t>
        </is>
      </c>
      <c r="C1" s="7" t="inlineStr">
        <is>
          <t>Group</t>
        </is>
      </c>
      <c r="D1" s="7" t="inlineStr">
        <is>
          <t>Description</t>
        </is>
      </c>
      <c r="E1" s="7" t="inlineStr">
        <is>
          <t>Paid by</t>
        </is>
      </c>
      <c r="F1" s="7" t="inlineStr">
        <is>
          <t>Amount ($)</t>
        </is>
      </c>
      <c r="G1" s="7" t="inlineStr">
        <is>
          <t>Method</t>
        </is>
      </c>
      <c r="H1" s="7" t="inlineStr">
        <is>
          <t>Maya Chen</t>
        </is>
      </c>
      <c r="I1" s="7" t="inlineStr">
        <is>
          <t>Daniel Chen</t>
        </is>
      </c>
      <c r="J1" s="7" t="inlineStr">
        <is>
          <t>Lucy Chen</t>
        </is>
      </c>
      <c r="K1" s="7" t="inlineStr">
        <is>
          <t>Leo Martins</t>
        </is>
      </c>
      <c r="L1" s="7" t="inlineStr">
        <is>
          <t>Priya Shah</t>
        </is>
      </c>
      <c r="M1" s="7" t="inlineStr">
        <is>
          <t>Tom Becker</t>
        </is>
      </c>
      <c r="N1" s="7" t="inlineStr">
        <is>
          <t>Check</t>
        </is>
      </c>
    </row>
    <row r="2">
      <c r="A2" s="8" t="inlineStr">
        <is>
          <t>EXP-2</t>
        </is>
      </c>
      <c r="B2" s="8" t="inlineStr">
        <is>
          <t>2026-09-26</t>
        </is>
      </c>
      <c r="C2" s="8" t="inlineStr">
        <is>
          <t>Chen family</t>
        </is>
      </c>
      <c r="D2" s="8" t="inlineStr">
        <is>
          <t>Dinner with my family Saturday — split with the family</t>
        </is>
      </c>
      <c r="E2" s="8" t="inlineStr">
        <is>
          <t>Maya Chen</t>
        </is>
      </c>
      <c r="F2" s="13" t="n">
        <v>420</v>
      </c>
      <c r="G2" s="8" t="inlineStr">
        <is>
          <t>equal</t>
        </is>
      </c>
      <c r="H2" s="13" t="n">
        <v>140</v>
      </c>
      <c r="I2" s="13" t="n">
        <v>140</v>
      </c>
      <c r="J2" s="13" t="n">
        <v>140</v>
      </c>
      <c r="K2" s="13" t="n">
        <v>0</v>
      </c>
      <c r="L2" s="13" t="n">
        <v>0</v>
      </c>
      <c r="M2" s="13" t="n">
        <v>0</v>
      </c>
      <c r="N2" s="8">
        <f>IF(ROUND(SUM(H2:M2)-F2,2)=0,"OK","Mismatch")</f>
        <v/>
      </c>
    </row>
    <row r="3">
      <c r="A3" s="8" t="inlineStr">
        <is>
          <t>EXP-3</t>
        </is>
      </c>
      <c r="B3" s="8" t="inlineStr">
        <is>
          <t>2026-09-27</t>
        </is>
      </c>
      <c r="C3" s="8" t="inlineStr">
        <is>
          <t>Weekend crew</t>
        </is>
      </c>
      <c r="D3" s="8" t="inlineStr">
        <is>
          <t>Giants game tickets with friends for 4 Sunday, split</t>
        </is>
      </c>
      <c r="E3" s="8" t="inlineStr">
        <is>
          <t>Leo Martins</t>
        </is>
      </c>
      <c r="F3" s="13" t="n">
        <v>720</v>
      </c>
      <c r="G3" s="8" t="inlineStr">
        <is>
          <t>equal</t>
        </is>
      </c>
      <c r="H3" s="13" t="n">
        <v>180</v>
      </c>
      <c r="I3" s="13" t="n">
        <v>0</v>
      </c>
      <c r="J3" s="13" t="n">
        <v>0</v>
      </c>
      <c r="K3" s="13" t="n">
        <v>180</v>
      </c>
      <c r="L3" s="13" t="n">
        <v>180</v>
      </c>
      <c r="M3" s="13" t="n">
        <v>180</v>
      </c>
      <c r="N3" s="8">
        <f>IF(ROUND(SUM(H3:M3)-F3,2)=0,"OK","Mismatch")</f>
        <v/>
      </c>
    </row>
    <row r="4">
      <c r="A4" s="8" t="inlineStr">
        <is>
          <t>EXP-4</t>
        </is>
      </c>
      <c r="B4" s="8" t="inlineStr">
        <is>
          <t>2026-09-22</t>
        </is>
      </c>
      <c r="C4" s="8" t="inlineStr">
        <is>
          <t>Weekend crew</t>
        </is>
      </c>
      <c r="D4" s="8" t="inlineStr">
        <is>
          <t>Uber to the ballpark</t>
        </is>
      </c>
      <c r="E4" s="8" t="inlineStr">
        <is>
          <t>Priya Shah</t>
        </is>
      </c>
      <c r="F4" s="13" t="n">
        <v>96</v>
      </c>
      <c r="G4" s="8" t="inlineStr">
        <is>
          <t>equal</t>
        </is>
      </c>
      <c r="H4" s="13" t="n">
        <v>24</v>
      </c>
      <c r="I4" s="13" t="n">
        <v>0</v>
      </c>
      <c r="J4" s="13" t="n">
        <v>0</v>
      </c>
      <c r="K4" s="13" t="n">
        <v>24</v>
      </c>
      <c r="L4" s="13" t="n">
        <v>24</v>
      </c>
      <c r="M4" s="13" t="n">
        <v>24</v>
      </c>
      <c r="N4" s="8">
        <f>IF(ROUND(SUM(H4:M4)-F4,2)=0,"OK","Mismatch")</f>
        <v/>
      </c>
    </row>
    <row r="5">
      <c r="A5" s="8" t="inlineStr">
        <is>
          <t>EXP-5</t>
        </is>
      </c>
      <c r="B5" s="8" t="inlineStr">
        <is>
          <t>2026-09-22</t>
        </is>
      </c>
      <c r="C5" s="8" t="inlineStr">
        <is>
          <t>Chen family</t>
        </is>
      </c>
      <c r="D5" s="8" t="inlineStr">
        <is>
          <t>Groceries for the family BBQ</t>
        </is>
      </c>
      <c r="E5" s="8" t="inlineStr">
        <is>
          <t>Daniel Chen</t>
        </is>
      </c>
      <c r="F5" s="13" t="n">
        <v>180</v>
      </c>
      <c r="G5" s="8" t="inlineStr">
        <is>
          <t>shares</t>
        </is>
      </c>
      <c r="H5" s="13" t="n">
        <v>45</v>
      </c>
      <c r="I5" s="13" t="n">
        <v>45</v>
      </c>
      <c r="J5" s="13" t="n">
        <v>90</v>
      </c>
      <c r="K5" s="13" t="n">
        <v>0</v>
      </c>
      <c r="L5" s="13" t="n">
        <v>0</v>
      </c>
      <c r="M5" s="13" t="n">
        <v>0</v>
      </c>
      <c r="N5" s="8">
        <f>IF(ROUND(SUM(H5:M5)-F5,2)=0,"OK","Mismatch")</f>
        <v/>
      </c>
    </row>
    <row r="7">
      <c r="A7" s="2" t="inlineStr">
        <is>
          <t>Shares are computed by the Split agent in whole cents so each row adds up exactly (Check column).</t>
        </is>
      </c>
    </row>
    <row r="9">
      <c r="A9" s="3" t="inlineStr">
        <is>
          <t>Settlements</t>
        </is>
      </c>
    </row>
    <row r="10">
      <c r="A10" s="10" t="inlineStr">
        <is>
          <t>Settlement</t>
        </is>
      </c>
      <c r="B10" s="10" t="inlineStr">
        <is>
          <t>Group</t>
        </is>
      </c>
      <c r="C10" s="10" t="inlineStr">
        <is>
          <t>From</t>
        </is>
      </c>
      <c r="D10" s="10" t="inlineStr">
        <is>
          <t>To</t>
        </is>
      </c>
      <c r="E10" s="10" t="inlineStr">
        <is>
          <t>Amount ($)</t>
        </is>
      </c>
    </row>
    <row r="11">
      <c r="A11" s="8" t="inlineStr">
        <is>
          <t>SET-2</t>
        </is>
      </c>
      <c r="B11" s="8" t="inlineStr">
        <is>
          <t>Weekend crew</t>
        </is>
      </c>
      <c r="C11" s="8" t="inlineStr">
        <is>
          <t>Tom Becker</t>
        </is>
      </c>
      <c r="D11" s="8" t="inlineStr">
        <is>
          <t>Leo Martins</t>
        </is>
      </c>
      <c r="E11" s="13" t="n">
        <v>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2" customWidth="1" min="4" max="4"/>
    <col width="18" customWidth="1" min="5" max="5"/>
    <col width="20" customWidth="1" min="6" max="6"/>
    <col width="16" customWidth="1" min="7" max="7"/>
    <col width="14" customWidth="1" min="8" max="8"/>
  </cols>
  <sheetData>
    <row r="1">
      <c r="A1" s="7" t="inlineStr">
        <is>
          <t>Group</t>
        </is>
      </c>
      <c r="B1" s="7" t="inlineStr">
        <is>
          <t>Member</t>
        </is>
      </c>
      <c r="C1" s="7" t="inlineStr">
        <is>
          <t>Paid ($)</t>
        </is>
      </c>
      <c r="D1" s="7" t="inlineStr">
        <is>
          <t>Share ($)</t>
        </is>
      </c>
      <c r="E1" s="7" t="inlineStr">
        <is>
          <t>Settlements sent ($)</t>
        </is>
      </c>
      <c r="F1" s="7" t="inlineStr">
        <is>
          <t>Settlements received ($)</t>
        </is>
      </c>
      <c r="G1" s="7" t="inlineStr">
        <is>
          <t>Net balance ($)</t>
        </is>
      </c>
      <c r="H1" s="7" t="inlineStr">
        <is>
          <t>Position</t>
        </is>
      </c>
    </row>
    <row r="2">
      <c r="A2" s="8" t="inlineStr">
        <is>
          <t>Chen family</t>
        </is>
      </c>
      <c r="B2" s="8" t="inlineStr">
        <is>
          <t>Maya Chen</t>
        </is>
      </c>
      <c r="C2" s="14">
        <f>SUMIFS('Group Ledger'!$F$2:$F$5,'Group Ledger'!$C$2:$C$5,A2,'Group Ledger'!$E$2:$E$5,B2)</f>
        <v/>
      </c>
      <c r="D2" s="14">
        <f>SUMIFS('Group Ledger'!$H$2:$H$5,'Group Ledger'!$C$2:$C$5,A2)</f>
        <v/>
      </c>
      <c r="E2" s="14">
        <f>SUMIFS('Group Ledger'!$E$11:$E$11,'Group Ledger'!$B$11:$B$11,A2,'Group Ledger'!$C$11:$C$11,B2)</f>
        <v/>
      </c>
      <c r="F2" s="14">
        <f>SUMIFS('Group Ledger'!$E$11:$E$11,'Group Ledger'!$B$11:$B$11,A2,'Group Ledger'!$D$11:$D$11,B2)</f>
        <v/>
      </c>
      <c r="G2" s="14">
        <f>C2-D2+E2-F2</f>
        <v/>
      </c>
      <c r="H2" s="8">
        <f>IF(ROUND(G2,2)&gt;0,"gets back",IF(ROUND(G2,2)&lt;0,"owes","settled"))</f>
        <v/>
      </c>
    </row>
    <row r="3">
      <c r="A3" s="8" t="inlineStr">
        <is>
          <t>Chen family</t>
        </is>
      </c>
      <c r="B3" s="8" t="inlineStr">
        <is>
          <t>Daniel Chen</t>
        </is>
      </c>
      <c r="C3" s="14">
        <f>SUMIFS('Group Ledger'!$F$2:$F$5,'Group Ledger'!$C$2:$C$5,A3,'Group Ledger'!$E$2:$E$5,B3)</f>
        <v/>
      </c>
      <c r="D3" s="14">
        <f>SUMIFS('Group Ledger'!$I$2:$I$5,'Group Ledger'!$C$2:$C$5,A3)</f>
        <v/>
      </c>
      <c r="E3" s="14">
        <f>SUMIFS('Group Ledger'!$E$11:$E$11,'Group Ledger'!$B$11:$B$11,A3,'Group Ledger'!$C$11:$C$11,B3)</f>
        <v/>
      </c>
      <c r="F3" s="14">
        <f>SUMIFS('Group Ledger'!$E$11:$E$11,'Group Ledger'!$B$11:$B$11,A3,'Group Ledger'!$D$11:$D$11,B3)</f>
        <v/>
      </c>
      <c r="G3" s="14">
        <f>C3-D3+E3-F3</f>
        <v/>
      </c>
      <c r="H3" s="8">
        <f>IF(ROUND(G3,2)&gt;0,"gets back",IF(ROUND(G3,2)&lt;0,"owes","settled"))</f>
        <v/>
      </c>
    </row>
    <row r="4">
      <c r="A4" s="8" t="inlineStr">
        <is>
          <t>Chen family</t>
        </is>
      </c>
      <c r="B4" s="8" t="inlineStr">
        <is>
          <t>Lucy Chen</t>
        </is>
      </c>
      <c r="C4" s="14">
        <f>SUMIFS('Group Ledger'!$F$2:$F$5,'Group Ledger'!$C$2:$C$5,A4,'Group Ledger'!$E$2:$E$5,B4)</f>
        <v/>
      </c>
      <c r="D4" s="14">
        <f>SUMIFS('Group Ledger'!$J$2:$J$5,'Group Ledger'!$C$2:$C$5,A4)</f>
        <v/>
      </c>
      <c r="E4" s="14">
        <f>SUMIFS('Group Ledger'!$E$11:$E$11,'Group Ledger'!$B$11:$B$11,A4,'Group Ledger'!$C$11:$C$11,B4)</f>
        <v/>
      </c>
      <c r="F4" s="14">
        <f>SUMIFS('Group Ledger'!$E$11:$E$11,'Group Ledger'!$B$11:$B$11,A4,'Group Ledger'!$D$11:$D$11,B4)</f>
        <v/>
      </c>
      <c r="G4" s="14">
        <f>C4-D4+E4-F4</f>
        <v/>
      </c>
      <c r="H4" s="8">
        <f>IF(ROUND(G4,2)&gt;0,"gets back",IF(ROUND(G4,2)&lt;0,"owes","settled"))</f>
        <v/>
      </c>
    </row>
    <row r="5">
      <c r="A5" s="8" t="inlineStr">
        <is>
          <t>Weekend crew</t>
        </is>
      </c>
      <c r="B5" s="8" t="inlineStr">
        <is>
          <t>Maya Chen</t>
        </is>
      </c>
      <c r="C5" s="14">
        <f>SUMIFS('Group Ledger'!$F$2:$F$5,'Group Ledger'!$C$2:$C$5,A5,'Group Ledger'!$E$2:$E$5,B5)</f>
        <v/>
      </c>
      <c r="D5" s="14">
        <f>SUMIFS('Group Ledger'!$H$2:$H$5,'Group Ledger'!$C$2:$C$5,A5)</f>
        <v/>
      </c>
      <c r="E5" s="14">
        <f>SUMIFS('Group Ledger'!$E$11:$E$11,'Group Ledger'!$B$11:$B$11,A5,'Group Ledger'!$C$11:$C$11,B5)</f>
        <v/>
      </c>
      <c r="F5" s="14">
        <f>SUMIFS('Group Ledger'!$E$11:$E$11,'Group Ledger'!$B$11:$B$11,A5,'Group Ledger'!$D$11:$D$11,B5)</f>
        <v/>
      </c>
      <c r="G5" s="14">
        <f>C5-D5+E5-F5</f>
        <v/>
      </c>
      <c r="H5" s="8">
        <f>IF(ROUND(G5,2)&gt;0,"gets back",IF(ROUND(G5,2)&lt;0,"owes","settled"))</f>
        <v/>
      </c>
    </row>
    <row r="6">
      <c r="A6" s="8" t="inlineStr">
        <is>
          <t>Weekend crew</t>
        </is>
      </c>
      <c r="B6" s="8" t="inlineStr">
        <is>
          <t>Leo Martins</t>
        </is>
      </c>
      <c r="C6" s="14">
        <f>SUMIFS('Group Ledger'!$F$2:$F$5,'Group Ledger'!$C$2:$C$5,A6,'Group Ledger'!$E$2:$E$5,B6)</f>
        <v/>
      </c>
      <c r="D6" s="14">
        <f>SUMIFS('Group Ledger'!$K$2:$K$5,'Group Ledger'!$C$2:$C$5,A6)</f>
        <v/>
      </c>
      <c r="E6" s="14">
        <f>SUMIFS('Group Ledger'!$E$11:$E$11,'Group Ledger'!$B$11:$B$11,A6,'Group Ledger'!$C$11:$C$11,B6)</f>
        <v/>
      </c>
      <c r="F6" s="14">
        <f>SUMIFS('Group Ledger'!$E$11:$E$11,'Group Ledger'!$B$11:$B$11,A6,'Group Ledger'!$D$11:$D$11,B6)</f>
        <v/>
      </c>
      <c r="G6" s="14">
        <f>C6-D6+E6-F6</f>
        <v/>
      </c>
      <c r="H6" s="8">
        <f>IF(ROUND(G6,2)&gt;0,"gets back",IF(ROUND(G6,2)&lt;0,"owes","settled"))</f>
        <v/>
      </c>
    </row>
    <row r="7">
      <c r="A7" s="8" t="inlineStr">
        <is>
          <t>Weekend crew</t>
        </is>
      </c>
      <c r="B7" s="8" t="inlineStr">
        <is>
          <t>Priya Shah</t>
        </is>
      </c>
      <c r="C7" s="14">
        <f>SUMIFS('Group Ledger'!$F$2:$F$5,'Group Ledger'!$C$2:$C$5,A7,'Group Ledger'!$E$2:$E$5,B7)</f>
        <v/>
      </c>
      <c r="D7" s="14">
        <f>SUMIFS('Group Ledger'!$L$2:$L$5,'Group Ledger'!$C$2:$C$5,A7)</f>
        <v/>
      </c>
      <c r="E7" s="14">
        <f>SUMIFS('Group Ledger'!$E$11:$E$11,'Group Ledger'!$B$11:$B$11,A7,'Group Ledger'!$C$11:$C$11,B7)</f>
        <v/>
      </c>
      <c r="F7" s="14">
        <f>SUMIFS('Group Ledger'!$E$11:$E$11,'Group Ledger'!$B$11:$B$11,A7,'Group Ledger'!$D$11:$D$11,B7)</f>
        <v/>
      </c>
      <c r="G7" s="14">
        <f>C7-D7+E7-F7</f>
        <v/>
      </c>
      <c r="H7" s="8">
        <f>IF(ROUND(G7,2)&gt;0,"gets back",IF(ROUND(G7,2)&lt;0,"owes","settled"))</f>
        <v/>
      </c>
    </row>
    <row r="8">
      <c r="A8" s="8" t="inlineStr">
        <is>
          <t>Weekend crew</t>
        </is>
      </c>
      <c r="B8" s="8" t="inlineStr">
        <is>
          <t>Tom Becker</t>
        </is>
      </c>
      <c r="C8" s="14">
        <f>SUMIFS('Group Ledger'!$F$2:$F$5,'Group Ledger'!$C$2:$C$5,A8,'Group Ledger'!$E$2:$E$5,B8)</f>
        <v/>
      </c>
      <c r="D8" s="14">
        <f>SUMIFS('Group Ledger'!$M$2:$M$5,'Group Ledger'!$C$2:$C$5,A8)</f>
        <v/>
      </c>
      <c r="E8" s="14">
        <f>SUMIFS('Group Ledger'!$E$11:$E$11,'Group Ledger'!$B$11:$B$11,A8,'Group Ledger'!$C$11:$C$11,B8)</f>
        <v/>
      </c>
      <c r="F8" s="14">
        <f>SUMIFS('Group Ledger'!$E$11:$E$11,'Group Ledger'!$B$11:$B$11,A8,'Group Ledger'!$D$11:$D$11,B8)</f>
        <v/>
      </c>
      <c r="G8" s="14">
        <f>C8-D8+E8-F8</f>
        <v/>
      </c>
      <c r="H8" s="8">
        <f>IF(ROUND(G8,2)&gt;0,"gets back",IF(ROUND(G8,2)&lt;0,"owes","settled"))</f>
        <v/>
      </c>
    </row>
    <row r="10">
      <c r="A10" s="2" t="inlineStr">
        <is>
          <t>Net balance = paid − own share + settlements sent − settlements received. Positive: is owed money. Negative: owes money. Each group sums to zero.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0" customWidth="1" min="3" max="3"/>
    <col width="16" customWidth="1" min="4" max="4"/>
    <col width="16" customWidth="1" min="5" max="5"/>
    <col width="14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7" t="inlineStr">
        <is>
          <t>Person</t>
        </is>
      </c>
      <c r="B1" s="7" t="inlineStr">
        <is>
          <t>Title</t>
        </is>
      </c>
      <c r="C1" s="7" t="inlineStr">
        <is>
          <t>Employee</t>
        </is>
      </c>
      <c r="D1" s="7" t="inlineStr">
        <is>
          <t>Company-paid ($)</t>
        </is>
      </c>
      <c r="E1" s="7" t="inlineStr">
        <is>
          <t>Reimbursable ($)</t>
        </is>
      </c>
      <c r="F1" s="7" t="inlineStr">
        <is>
          <t>Personal ($)</t>
        </is>
      </c>
      <c r="G1" s="7" t="inlineStr">
        <is>
          <t>Paid for groups ($)</t>
        </is>
      </c>
      <c r="H1" s="7" t="inlineStr">
        <is>
          <t>Own group share ($)</t>
        </is>
      </c>
      <c r="I1" s="7" t="inlineStr">
        <is>
          <t>Out of pocket ($)</t>
        </is>
      </c>
      <c r="J1" s="7" t="inlineStr">
        <is>
          <t>Total influenced ($)</t>
        </is>
      </c>
    </row>
    <row r="2">
      <c r="A2" s="8" t="inlineStr">
        <is>
          <t>Maya Chen</t>
        </is>
      </c>
      <c r="B2" s="8" t="inlineStr">
        <is>
          <t>Account Executive</t>
        </is>
      </c>
      <c r="C2" s="8" t="inlineStr">
        <is>
          <t>Yes</t>
        </is>
      </c>
      <c r="D2" s="14">
        <f>SUMIFS(Bookings!$M$2:$M$12,Bookings!$G$2:$G$12,$A2,Bookings!$I$2:$I$12,"corporate",Bookings!$S$2:$S$12,"pending_approval") + SUMIFS(Bookings!$M$2:$M$12,Bookings!$G$2:$G$12,$A2,Bookings!$I$2:$I$12,"corporate",Bookings!$S$2:$S$12,"approved") + SUMIFS(Bookings!$M$2:$M$12,Bookings!$G$2:$G$12,$A2,Bookings!$I$2:$I$12,"corporate",Bookings!$S$2:$S$12,"confirmed")</f>
        <v/>
      </c>
      <c r="E2" s="14">
        <f>SUMIFS(Bookings!$M$2:$M$12,Bookings!$G$2:$G$12,$A2,Bookings!$I$2:$I$12,"reimbursable",Bookings!$S$2:$S$12,"pending_approval") + SUMIFS(Bookings!$M$2:$M$12,Bookings!$G$2:$G$12,$A2,Bookings!$I$2:$I$12,"reimbursable",Bookings!$S$2:$S$12,"approved") + SUMIFS(Bookings!$M$2:$M$12,Bookings!$G$2:$G$12,$A2,Bookings!$I$2:$I$12,"reimbursable",Bookings!$S$2:$S$12,"confirmed")</f>
        <v/>
      </c>
      <c r="F2" s="14">
        <f>SUMIFS(Bookings!$M$2:$M$12,Bookings!$G$2:$G$12,$A2,Bookings!$I$2:$I$12,"personal",Bookings!$S$2:$S$12,"pending_approval") + SUMIFS(Bookings!$M$2:$M$12,Bookings!$G$2:$G$12,$A2,Bookings!$I$2:$I$12,"personal",Bookings!$S$2:$S$12,"approved") + SUMIFS(Bookings!$M$2:$M$12,Bookings!$G$2:$G$12,$A2,Bookings!$I$2:$I$12,"personal",Bookings!$S$2:$S$12,"confirmed")</f>
        <v/>
      </c>
      <c r="G2" s="14">
        <f>SUMIFS('Group Ledger'!$F$2:$F$5,'Group Ledger'!$E$2:$E$5,A2)</f>
        <v/>
      </c>
      <c r="H2" s="14">
        <f>SUM('Group Ledger'!H2:H5)</f>
        <v/>
      </c>
      <c r="I2" s="14">
        <f>E2+F2+H2</f>
        <v/>
      </c>
      <c r="J2" s="14">
        <f>D2+E2+F2+G2</f>
        <v/>
      </c>
    </row>
    <row r="3">
      <c r="A3" s="8" t="inlineStr">
        <is>
          <t>Raj Patel</t>
        </is>
      </c>
      <c r="B3" s="8" t="inlineStr">
        <is>
          <t>Sales Director</t>
        </is>
      </c>
      <c r="C3" s="8" t="inlineStr">
        <is>
          <t>Yes</t>
        </is>
      </c>
      <c r="D3" s="14">
        <f>SUMIFS(Bookings!$M$2:$M$12,Bookings!$G$2:$G$12,$A3,Bookings!$I$2:$I$12,"corporate",Bookings!$S$2:$S$12,"pending_approval") + SUMIFS(Bookings!$M$2:$M$12,Bookings!$G$2:$G$12,$A3,Bookings!$I$2:$I$12,"corporate",Bookings!$S$2:$S$12,"approved") + SUMIFS(Bookings!$M$2:$M$12,Bookings!$G$2:$G$12,$A3,Bookings!$I$2:$I$12,"corporate",Bookings!$S$2:$S$12,"confirmed")</f>
        <v/>
      </c>
      <c r="E3" s="14">
        <f>SUMIFS(Bookings!$M$2:$M$12,Bookings!$G$2:$G$12,$A3,Bookings!$I$2:$I$12,"reimbursable",Bookings!$S$2:$S$12,"pending_approval") + SUMIFS(Bookings!$M$2:$M$12,Bookings!$G$2:$G$12,$A3,Bookings!$I$2:$I$12,"reimbursable",Bookings!$S$2:$S$12,"approved") + SUMIFS(Bookings!$M$2:$M$12,Bookings!$G$2:$G$12,$A3,Bookings!$I$2:$I$12,"reimbursable",Bookings!$S$2:$S$12,"confirmed")</f>
        <v/>
      </c>
      <c r="F3" s="14">
        <f>SUMIFS(Bookings!$M$2:$M$12,Bookings!$G$2:$G$12,$A3,Bookings!$I$2:$I$12,"personal",Bookings!$S$2:$S$12,"pending_approval") + SUMIFS(Bookings!$M$2:$M$12,Bookings!$G$2:$G$12,$A3,Bookings!$I$2:$I$12,"personal",Bookings!$S$2:$S$12,"approved") + SUMIFS(Bookings!$M$2:$M$12,Bookings!$G$2:$G$12,$A3,Bookings!$I$2:$I$12,"personal",Bookings!$S$2:$S$12,"confirmed")</f>
        <v/>
      </c>
      <c r="G3" s="14">
        <f>SUMIFS('Group Ledger'!$F$2:$F$5,'Group Ledger'!$E$2:$E$5,A3)</f>
        <v/>
      </c>
      <c r="H3" s="14" t="n">
        <v>0</v>
      </c>
      <c r="I3" s="14">
        <f>E3+F3+H3</f>
        <v/>
      </c>
      <c r="J3" s="14">
        <f>D3+E3+F3+G3</f>
        <v/>
      </c>
    </row>
    <row r="4">
      <c r="A4" s="8" t="inlineStr">
        <is>
          <t>Elena Brooks</t>
        </is>
      </c>
      <c r="B4" s="8" t="inlineStr">
        <is>
          <t>VP Sales (Dept Head)</t>
        </is>
      </c>
      <c r="C4" s="8" t="inlineStr">
        <is>
          <t>Yes</t>
        </is>
      </c>
      <c r="D4" s="14">
        <f>SUMIFS(Bookings!$M$2:$M$12,Bookings!$G$2:$G$12,$A4,Bookings!$I$2:$I$12,"corporate",Bookings!$S$2:$S$12,"pending_approval") + SUMIFS(Bookings!$M$2:$M$12,Bookings!$G$2:$G$12,$A4,Bookings!$I$2:$I$12,"corporate",Bookings!$S$2:$S$12,"approved") + SUMIFS(Bookings!$M$2:$M$12,Bookings!$G$2:$G$12,$A4,Bookings!$I$2:$I$12,"corporate",Bookings!$S$2:$S$12,"confirmed")</f>
        <v/>
      </c>
      <c r="E4" s="14">
        <f>SUMIFS(Bookings!$M$2:$M$12,Bookings!$G$2:$G$12,$A4,Bookings!$I$2:$I$12,"reimbursable",Bookings!$S$2:$S$12,"pending_approval") + SUMIFS(Bookings!$M$2:$M$12,Bookings!$G$2:$G$12,$A4,Bookings!$I$2:$I$12,"reimbursable",Bookings!$S$2:$S$12,"approved") + SUMIFS(Bookings!$M$2:$M$12,Bookings!$G$2:$G$12,$A4,Bookings!$I$2:$I$12,"reimbursable",Bookings!$S$2:$S$12,"confirmed")</f>
        <v/>
      </c>
      <c r="F4" s="14">
        <f>SUMIFS(Bookings!$M$2:$M$12,Bookings!$G$2:$G$12,$A4,Bookings!$I$2:$I$12,"personal",Bookings!$S$2:$S$12,"pending_approval") + SUMIFS(Bookings!$M$2:$M$12,Bookings!$G$2:$G$12,$A4,Bookings!$I$2:$I$12,"personal",Bookings!$S$2:$S$12,"approved") + SUMIFS(Bookings!$M$2:$M$12,Bookings!$G$2:$G$12,$A4,Bookings!$I$2:$I$12,"personal",Bookings!$S$2:$S$12,"confirmed")</f>
        <v/>
      </c>
      <c r="G4" s="14">
        <f>SUMIFS('Group Ledger'!$F$2:$F$5,'Group Ledger'!$E$2:$E$5,A4)</f>
        <v/>
      </c>
      <c r="H4" s="14" t="n">
        <v>0</v>
      </c>
      <c r="I4" s="14">
        <f>E4+F4+H4</f>
        <v/>
      </c>
      <c r="J4" s="14">
        <f>D4+E4+F4+G4</f>
        <v/>
      </c>
    </row>
    <row r="5">
      <c r="A5" s="8" t="inlineStr">
        <is>
          <t>Leo Martins</t>
        </is>
      </c>
      <c r="B5" s="8" t="inlineStr">
        <is>
          <t>Product Manager</t>
        </is>
      </c>
      <c r="C5" s="8" t="inlineStr">
        <is>
          <t>Yes</t>
        </is>
      </c>
      <c r="D5" s="14">
        <f>SUMIFS(Bookings!$M$2:$M$12,Bookings!$G$2:$G$12,$A5,Bookings!$I$2:$I$12,"corporate",Bookings!$S$2:$S$12,"pending_approval") + SUMIFS(Bookings!$M$2:$M$12,Bookings!$G$2:$G$12,$A5,Bookings!$I$2:$I$12,"corporate",Bookings!$S$2:$S$12,"approved") + SUMIFS(Bookings!$M$2:$M$12,Bookings!$G$2:$G$12,$A5,Bookings!$I$2:$I$12,"corporate",Bookings!$S$2:$S$12,"confirmed")</f>
        <v/>
      </c>
      <c r="E5" s="14">
        <f>SUMIFS(Bookings!$M$2:$M$12,Bookings!$G$2:$G$12,$A5,Bookings!$I$2:$I$12,"reimbursable",Bookings!$S$2:$S$12,"pending_approval") + SUMIFS(Bookings!$M$2:$M$12,Bookings!$G$2:$G$12,$A5,Bookings!$I$2:$I$12,"reimbursable",Bookings!$S$2:$S$12,"approved") + SUMIFS(Bookings!$M$2:$M$12,Bookings!$G$2:$G$12,$A5,Bookings!$I$2:$I$12,"reimbursable",Bookings!$S$2:$S$12,"confirmed")</f>
        <v/>
      </c>
      <c r="F5" s="14">
        <f>SUMIFS(Bookings!$M$2:$M$12,Bookings!$G$2:$G$12,$A5,Bookings!$I$2:$I$12,"personal",Bookings!$S$2:$S$12,"pending_approval") + SUMIFS(Bookings!$M$2:$M$12,Bookings!$G$2:$G$12,$A5,Bookings!$I$2:$I$12,"personal",Bookings!$S$2:$S$12,"approved") + SUMIFS(Bookings!$M$2:$M$12,Bookings!$G$2:$G$12,$A5,Bookings!$I$2:$I$12,"personal",Bookings!$S$2:$S$12,"confirmed")</f>
        <v/>
      </c>
      <c r="G5" s="14">
        <f>SUMIFS('Group Ledger'!$F$2:$F$5,'Group Ledger'!$E$2:$E$5,A5)</f>
        <v/>
      </c>
      <c r="H5" s="14">
        <f>SUM('Group Ledger'!K2:K5)</f>
        <v/>
      </c>
      <c r="I5" s="14">
        <f>E5+F5+H5</f>
        <v/>
      </c>
      <c r="J5" s="14">
        <f>D5+E5+F5+G5</f>
        <v/>
      </c>
    </row>
    <row r="6">
      <c r="A6" s="8" t="inlineStr">
        <is>
          <t>Ana Ruiz</t>
        </is>
      </c>
      <c r="B6" s="8" t="inlineStr">
        <is>
          <t>Head of Product (Dept Head)</t>
        </is>
      </c>
      <c r="C6" s="8" t="inlineStr">
        <is>
          <t>Yes</t>
        </is>
      </c>
      <c r="D6" s="14">
        <f>SUMIFS(Bookings!$M$2:$M$12,Bookings!$G$2:$G$12,$A6,Bookings!$I$2:$I$12,"corporate",Bookings!$S$2:$S$12,"pending_approval") + SUMIFS(Bookings!$M$2:$M$12,Bookings!$G$2:$G$12,$A6,Bookings!$I$2:$I$12,"corporate",Bookings!$S$2:$S$12,"approved") + SUMIFS(Bookings!$M$2:$M$12,Bookings!$G$2:$G$12,$A6,Bookings!$I$2:$I$12,"corporate",Bookings!$S$2:$S$12,"confirmed")</f>
        <v/>
      </c>
      <c r="E6" s="14">
        <f>SUMIFS(Bookings!$M$2:$M$12,Bookings!$G$2:$G$12,$A6,Bookings!$I$2:$I$12,"reimbursable",Bookings!$S$2:$S$12,"pending_approval") + SUMIFS(Bookings!$M$2:$M$12,Bookings!$G$2:$G$12,$A6,Bookings!$I$2:$I$12,"reimbursable",Bookings!$S$2:$S$12,"approved") + SUMIFS(Bookings!$M$2:$M$12,Bookings!$G$2:$G$12,$A6,Bookings!$I$2:$I$12,"reimbursable",Bookings!$S$2:$S$12,"confirmed")</f>
        <v/>
      </c>
      <c r="F6" s="14">
        <f>SUMIFS(Bookings!$M$2:$M$12,Bookings!$G$2:$G$12,$A6,Bookings!$I$2:$I$12,"personal",Bookings!$S$2:$S$12,"pending_approval") + SUMIFS(Bookings!$M$2:$M$12,Bookings!$G$2:$G$12,$A6,Bookings!$I$2:$I$12,"personal",Bookings!$S$2:$S$12,"approved") + SUMIFS(Bookings!$M$2:$M$12,Bookings!$G$2:$G$12,$A6,Bookings!$I$2:$I$12,"personal",Bookings!$S$2:$S$12,"confirmed")</f>
        <v/>
      </c>
      <c r="G6" s="14">
        <f>SUMIFS('Group Ledger'!$F$2:$F$5,'Group Ledger'!$E$2:$E$5,A6)</f>
        <v/>
      </c>
      <c r="H6" s="14" t="n">
        <v>0</v>
      </c>
      <c r="I6" s="14">
        <f>E6+F6+H6</f>
        <v/>
      </c>
      <c r="J6" s="14">
        <f>D6+E6+F6+G6</f>
        <v/>
      </c>
    </row>
    <row r="7">
      <c r="A7" s="8" t="inlineStr">
        <is>
          <t>Sam Okafor</t>
        </is>
      </c>
      <c r="B7" s="8" t="inlineStr">
        <is>
          <t>CFO (Finance)</t>
        </is>
      </c>
      <c r="C7" s="8" t="inlineStr">
        <is>
          <t>Yes</t>
        </is>
      </c>
      <c r="D7" s="14">
        <f>SUMIFS(Bookings!$M$2:$M$12,Bookings!$G$2:$G$12,$A7,Bookings!$I$2:$I$12,"corporate",Bookings!$S$2:$S$12,"pending_approval") + SUMIFS(Bookings!$M$2:$M$12,Bookings!$G$2:$G$12,$A7,Bookings!$I$2:$I$12,"corporate",Bookings!$S$2:$S$12,"approved") + SUMIFS(Bookings!$M$2:$M$12,Bookings!$G$2:$G$12,$A7,Bookings!$I$2:$I$12,"corporate",Bookings!$S$2:$S$12,"confirmed")</f>
        <v/>
      </c>
      <c r="E7" s="14">
        <f>SUMIFS(Bookings!$M$2:$M$12,Bookings!$G$2:$G$12,$A7,Bookings!$I$2:$I$12,"reimbursable",Bookings!$S$2:$S$12,"pending_approval") + SUMIFS(Bookings!$M$2:$M$12,Bookings!$G$2:$G$12,$A7,Bookings!$I$2:$I$12,"reimbursable",Bookings!$S$2:$S$12,"approved") + SUMIFS(Bookings!$M$2:$M$12,Bookings!$G$2:$G$12,$A7,Bookings!$I$2:$I$12,"reimbursable",Bookings!$S$2:$S$12,"confirmed")</f>
        <v/>
      </c>
      <c r="F7" s="14">
        <f>SUMIFS(Bookings!$M$2:$M$12,Bookings!$G$2:$G$12,$A7,Bookings!$I$2:$I$12,"personal",Bookings!$S$2:$S$12,"pending_approval") + SUMIFS(Bookings!$M$2:$M$12,Bookings!$G$2:$G$12,$A7,Bookings!$I$2:$I$12,"personal",Bookings!$S$2:$S$12,"approved") + SUMIFS(Bookings!$M$2:$M$12,Bookings!$G$2:$G$12,$A7,Bookings!$I$2:$I$12,"personal",Bookings!$S$2:$S$12,"confirmed")</f>
        <v/>
      </c>
      <c r="G7" s="14">
        <f>SUMIFS('Group Ledger'!$F$2:$F$5,'Group Ledger'!$E$2:$E$5,A7)</f>
        <v/>
      </c>
      <c r="H7" s="14" t="n">
        <v>0</v>
      </c>
      <c r="I7" s="14">
        <f>E7+F7+H7</f>
        <v/>
      </c>
      <c r="J7" s="14">
        <f>D7+E7+F7+G7</f>
        <v/>
      </c>
    </row>
    <row r="8">
      <c r="A8" s="8" t="inlineStr">
        <is>
          <t>Kim Nguyen</t>
        </is>
      </c>
      <c r="B8" s="8" t="inlineStr">
        <is>
          <t>HR Business Partner</t>
        </is>
      </c>
      <c r="C8" s="8" t="inlineStr">
        <is>
          <t>Yes</t>
        </is>
      </c>
      <c r="D8" s="14">
        <f>SUMIFS(Bookings!$M$2:$M$12,Bookings!$G$2:$G$12,$A8,Bookings!$I$2:$I$12,"corporate",Bookings!$S$2:$S$12,"pending_approval") + SUMIFS(Bookings!$M$2:$M$12,Bookings!$G$2:$G$12,$A8,Bookings!$I$2:$I$12,"corporate",Bookings!$S$2:$S$12,"approved") + SUMIFS(Bookings!$M$2:$M$12,Bookings!$G$2:$G$12,$A8,Bookings!$I$2:$I$12,"corporate",Bookings!$S$2:$S$12,"confirmed")</f>
        <v/>
      </c>
      <c r="E8" s="14">
        <f>SUMIFS(Bookings!$M$2:$M$12,Bookings!$G$2:$G$12,$A8,Bookings!$I$2:$I$12,"reimbursable",Bookings!$S$2:$S$12,"pending_approval") + SUMIFS(Bookings!$M$2:$M$12,Bookings!$G$2:$G$12,$A8,Bookings!$I$2:$I$12,"reimbursable",Bookings!$S$2:$S$12,"approved") + SUMIFS(Bookings!$M$2:$M$12,Bookings!$G$2:$G$12,$A8,Bookings!$I$2:$I$12,"reimbursable",Bookings!$S$2:$S$12,"confirmed")</f>
        <v/>
      </c>
      <c r="F8" s="14">
        <f>SUMIFS(Bookings!$M$2:$M$12,Bookings!$G$2:$G$12,$A8,Bookings!$I$2:$I$12,"personal",Bookings!$S$2:$S$12,"pending_approval") + SUMIFS(Bookings!$M$2:$M$12,Bookings!$G$2:$G$12,$A8,Bookings!$I$2:$I$12,"personal",Bookings!$S$2:$S$12,"approved") + SUMIFS(Bookings!$M$2:$M$12,Bookings!$G$2:$G$12,$A8,Bookings!$I$2:$I$12,"personal",Bookings!$S$2:$S$12,"confirmed")</f>
        <v/>
      </c>
      <c r="G8" s="14">
        <f>SUMIFS('Group Ledger'!$F$2:$F$5,'Group Ledger'!$E$2:$E$5,A8)</f>
        <v/>
      </c>
      <c r="H8" s="14" t="n">
        <v>0</v>
      </c>
      <c r="I8" s="14">
        <f>E8+F8+H8</f>
        <v/>
      </c>
      <c r="J8" s="14">
        <f>D8+E8+F8+G8</f>
        <v/>
      </c>
    </row>
    <row r="9">
      <c r="A9" s="8" t="inlineStr">
        <is>
          <t>Omar Haddad</t>
        </is>
      </c>
      <c r="B9" s="8" t="inlineStr">
        <is>
          <t>Benefits Lead</t>
        </is>
      </c>
      <c r="C9" s="8" t="inlineStr">
        <is>
          <t>Yes</t>
        </is>
      </c>
      <c r="D9" s="14">
        <f>SUMIFS(Bookings!$M$2:$M$12,Bookings!$G$2:$G$12,$A9,Bookings!$I$2:$I$12,"corporate",Bookings!$S$2:$S$12,"pending_approval") + SUMIFS(Bookings!$M$2:$M$12,Bookings!$G$2:$G$12,$A9,Bookings!$I$2:$I$12,"corporate",Bookings!$S$2:$S$12,"approved") + SUMIFS(Bookings!$M$2:$M$12,Bookings!$G$2:$G$12,$A9,Bookings!$I$2:$I$12,"corporate",Bookings!$S$2:$S$12,"confirmed")</f>
        <v/>
      </c>
      <c r="E9" s="14">
        <f>SUMIFS(Bookings!$M$2:$M$12,Bookings!$G$2:$G$12,$A9,Bookings!$I$2:$I$12,"reimbursable",Bookings!$S$2:$S$12,"pending_approval") + SUMIFS(Bookings!$M$2:$M$12,Bookings!$G$2:$G$12,$A9,Bookings!$I$2:$I$12,"reimbursable",Bookings!$S$2:$S$12,"approved") + SUMIFS(Bookings!$M$2:$M$12,Bookings!$G$2:$G$12,$A9,Bookings!$I$2:$I$12,"reimbursable",Bookings!$S$2:$S$12,"confirmed")</f>
        <v/>
      </c>
      <c r="F9" s="14">
        <f>SUMIFS(Bookings!$M$2:$M$12,Bookings!$G$2:$G$12,$A9,Bookings!$I$2:$I$12,"personal",Bookings!$S$2:$S$12,"pending_approval") + SUMIFS(Bookings!$M$2:$M$12,Bookings!$G$2:$G$12,$A9,Bookings!$I$2:$I$12,"personal",Bookings!$S$2:$S$12,"approved") + SUMIFS(Bookings!$M$2:$M$12,Bookings!$G$2:$G$12,$A9,Bookings!$I$2:$I$12,"personal",Bookings!$S$2:$S$12,"confirmed")</f>
        <v/>
      </c>
      <c r="G9" s="14">
        <f>SUMIFS('Group Ledger'!$F$2:$F$5,'Group Ledger'!$E$2:$E$5,A9)</f>
        <v/>
      </c>
      <c r="H9" s="14" t="n">
        <v>0</v>
      </c>
      <c r="I9" s="14">
        <f>E9+F9+H9</f>
        <v/>
      </c>
      <c r="J9" s="14">
        <f>D9+E9+F9+G9</f>
        <v/>
      </c>
    </row>
    <row r="10">
      <c r="A10" s="8" t="inlineStr">
        <is>
          <t>Ivy Walsh</t>
        </is>
      </c>
      <c r="B10" s="8" t="inlineStr">
        <is>
          <t>Compliance Officer</t>
        </is>
      </c>
      <c r="C10" s="8" t="inlineStr">
        <is>
          <t>Yes</t>
        </is>
      </c>
      <c r="D10" s="14">
        <f>SUMIFS(Bookings!$M$2:$M$12,Bookings!$G$2:$G$12,$A10,Bookings!$I$2:$I$12,"corporate",Bookings!$S$2:$S$12,"pending_approval") + SUMIFS(Bookings!$M$2:$M$12,Bookings!$G$2:$G$12,$A10,Bookings!$I$2:$I$12,"corporate",Bookings!$S$2:$S$12,"approved") + SUMIFS(Bookings!$M$2:$M$12,Bookings!$G$2:$G$12,$A10,Bookings!$I$2:$I$12,"corporate",Bookings!$S$2:$S$12,"confirmed")</f>
        <v/>
      </c>
      <c r="E10" s="14">
        <f>SUMIFS(Bookings!$M$2:$M$12,Bookings!$G$2:$G$12,$A10,Bookings!$I$2:$I$12,"reimbursable",Bookings!$S$2:$S$12,"pending_approval") + SUMIFS(Bookings!$M$2:$M$12,Bookings!$G$2:$G$12,$A10,Bookings!$I$2:$I$12,"reimbursable",Bookings!$S$2:$S$12,"approved") + SUMIFS(Bookings!$M$2:$M$12,Bookings!$G$2:$G$12,$A10,Bookings!$I$2:$I$12,"reimbursable",Bookings!$S$2:$S$12,"confirmed")</f>
        <v/>
      </c>
      <c r="F10" s="14">
        <f>SUMIFS(Bookings!$M$2:$M$12,Bookings!$G$2:$G$12,$A10,Bookings!$I$2:$I$12,"personal",Bookings!$S$2:$S$12,"pending_approval") + SUMIFS(Bookings!$M$2:$M$12,Bookings!$G$2:$G$12,$A10,Bookings!$I$2:$I$12,"personal",Bookings!$S$2:$S$12,"approved") + SUMIFS(Bookings!$M$2:$M$12,Bookings!$G$2:$G$12,$A10,Bookings!$I$2:$I$12,"personal",Bookings!$S$2:$S$12,"confirmed")</f>
        <v/>
      </c>
      <c r="G10" s="14">
        <f>SUMIFS('Group Ledger'!$F$2:$F$5,'Group Ledger'!$E$2:$E$5,A10)</f>
        <v/>
      </c>
      <c r="H10" s="14" t="n">
        <v>0</v>
      </c>
      <c r="I10" s="14">
        <f>E10+F10+H10</f>
        <v/>
      </c>
      <c r="J10" s="14">
        <f>D10+E10+F10+G10</f>
        <v/>
      </c>
    </row>
    <row r="11">
      <c r="A11" s="8" t="inlineStr">
        <is>
          <t>Daniel Chen</t>
        </is>
      </c>
      <c r="B11" s="8" t="inlineStr">
        <is>
          <t>Family (Maya's partner)</t>
        </is>
      </c>
      <c r="C11" s="8" t="inlineStr">
        <is>
          <t>Guest</t>
        </is>
      </c>
      <c r="D11" s="14">
        <f>SUMIFS(Bookings!$M$2:$M$12,Bookings!$G$2:$G$12,$A11,Bookings!$I$2:$I$12,"corporate",Bookings!$S$2:$S$12,"pending_approval") + SUMIFS(Bookings!$M$2:$M$12,Bookings!$G$2:$G$12,$A11,Bookings!$I$2:$I$12,"corporate",Bookings!$S$2:$S$12,"approved") + SUMIFS(Bookings!$M$2:$M$12,Bookings!$G$2:$G$12,$A11,Bookings!$I$2:$I$12,"corporate",Bookings!$S$2:$S$12,"confirmed")</f>
        <v/>
      </c>
      <c r="E11" s="14">
        <f>SUMIFS(Bookings!$M$2:$M$12,Bookings!$G$2:$G$12,$A11,Bookings!$I$2:$I$12,"reimbursable",Bookings!$S$2:$S$12,"pending_approval") + SUMIFS(Bookings!$M$2:$M$12,Bookings!$G$2:$G$12,$A11,Bookings!$I$2:$I$12,"reimbursable",Bookings!$S$2:$S$12,"approved") + SUMIFS(Bookings!$M$2:$M$12,Bookings!$G$2:$G$12,$A11,Bookings!$I$2:$I$12,"reimbursable",Bookings!$S$2:$S$12,"confirmed")</f>
        <v/>
      </c>
      <c r="F11" s="14">
        <f>SUMIFS(Bookings!$M$2:$M$12,Bookings!$G$2:$G$12,$A11,Bookings!$I$2:$I$12,"personal",Bookings!$S$2:$S$12,"pending_approval") + SUMIFS(Bookings!$M$2:$M$12,Bookings!$G$2:$G$12,$A11,Bookings!$I$2:$I$12,"personal",Bookings!$S$2:$S$12,"approved") + SUMIFS(Bookings!$M$2:$M$12,Bookings!$G$2:$G$12,$A11,Bookings!$I$2:$I$12,"personal",Bookings!$S$2:$S$12,"confirmed")</f>
        <v/>
      </c>
      <c r="G11" s="14">
        <f>SUMIFS('Group Ledger'!$F$2:$F$5,'Group Ledger'!$E$2:$E$5,A11)</f>
        <v/>
      </c>
      <c r="H11" s="14">
        <f>SUM('Group Ledger'!I2:I5)</f>
        <v/>
      </c>
      <c r="I11" s="14">
        <f>E11+F11+H11</f>
        <v/>
      </c>
      <c r="J11" s="14">
        <f>D11+E11+F11+G11</f>
        <v/>
      </c>
    </row>
    <row r="12">
      <c r="A12" s="8" t="inlineStr">
        <is>
          <t>Lucy Chen</t>
        </is>
      </c>
      <c r="B12" s="8" t="inlineStr">
        <is>
          <t>Family (Maya's sister)</t>
        </is>
      </c>
      <c r="C12" s="8" t="inlineStr">
        <is>
          <t>Guest</t>
        </is>
      </c>
      <c r="D12" s="14">
        <f>SUMIFS(Bookings!$M$2:$M$12,Bookings!$G$2:$G$12,$A12,Bookings!$I$2:$I$12,"corporate",Bookings!$S$2:$S$12,"pending_approval") + SUMIFS(Bookings!$M$2:$M$12,Bookings!$G$2:$G$12,$A12,Bookings!$I$2:$I$12,"corporate",Bookings!$S$2:$S$12,"approved") + SUMIFS(Bookings!$M$2:$M$12,Bookings!$G$2:$G$12,$A12,Bookings!$I$2:$I$12,"corporate",Bookings!$S$2:$S$12,"confirmed")</f>
        <v/>
      </c>
      <c r="E12" s="14">
        <f>SUMIFS(Bookings!$M$2:$M$12,Bookings!$G$2:$G$12,$A12,Bookings!$I$2:$I$12,"reimbursable",Bookings!$S$2:$S$12,"pending_approval") + SUMIFS(Bookings!$M$2:$M$12,Bookings!$G$2:$G$12,$A12,Bookings!$I$2:$I$12,"reimbursable",Bookings!$S$2:$S$12,"approved") + SUMIFS(Bookings!$M$2:$M$12,Bookings!$G$2:$G$12,$A12,Bookings!$I$2:$I$12,"reimbursable",Bookings!$S$2:$S$12,"confirmed")</f>
        <v/>
      </c>
      <c r="F12" s="14">
        <f>SUMIFS(Bookings!$M$2:$M$12,Bookings!$G$2:$G$12,$A12,Bookings!$I$2:$I$12,"personal",Bookings!$S$2:$S$12,"pending_approval") + SUMIFS(Bookings!$M$2:$M$12,Bookings!$G$2:$G$12,$A12,Bookings!$I$2:$I$12,"personal",Bookings!$S$2:$S$12,"approved") + SUMIFS(Bookings!$M$2:$M$12,Bookings!$G$2:$G$12,$A12,Bookings!$I$2:$I$12,"personal",Bookings!$S$2:$S$12,"confirmed")</f>
        <v/>
      </c>
      <c r="G12" s="14">
        <f>SUMIFS('Group Ledger'!$F$2:$F$5,'Group Ledger'!$E$2:$E$5,A12)</f>
        <v/>
      </c>
      <c r="H12" s="14">
        <f>SUM('Group Ledger'!J2:J5)</f>
        <v/>
      </c>
      <c r="I12" s="14">
        <f>E12+F12+H12</f>
        <v/>
      </c>
      <c r="J12" s="14">
        <f>D12+E12+F12+G12</f>
        <v/>
      </c>
    </row>
    <row r="13">
      <c r="A13" s="8" t="inlineStr">
        <is>
          <t>Priya Shah</t>
        </is>
      </c>
      <c r="B13" s="8" t="inlineStr">
        <is>
          <t>Friend</t>
        </is>
      </c>
      <c r="C13" s="8" t="inlineStr">
        <is>
          <t>Guest</t>
        </is>
      </c>
      <c r="D13" s="14">
        <f>SUMIFS(Bookings!$M$2:$M$12,Bookings!$G$2:$G$12,$A13,Bookings!$I$2:$I$12,"corporate",Bookings!$S$2:$S$12,"pending_approval") + SUMIFS(Bookings!$M$2:$M$12,Bookings!$G$2:$G$12,$A13,Bookings!$I$2:$I$12,"corporate",Bookings!$S$2:$S$12,"approved") + SUMIFS(Bookings!$M$2:$M$12,Bookings!$G$2:$G$12,$A13,Bookings!$I$2:$I$12,"corporate",Bookings!$S$2:$S$12,"confirmed")</f>
        <v/>
      </c>
      <c r="E13" s="14">
        <f>SUMIFS(Bookings!$M$2:$M$12,Bookings!$G$2:$G$12,$A13,Bookings!$I$2:$I$12,"reimbursable",Bookings!$S$2:$S$12,"pending_approval") + SUMIFS(Bookings!$M$2:$M$12,Bookings!$G$2:$G$12,$A13,Bookings!$I$2:$I$12,"reimbursable",Bookings!$S$2:$S$12,"approved") + SUMIFS(Bookings!$M$2:$M$12,Bookings!$G$2:$G$12,$A13,Bookings!$I$2:$I$12,"reimbursable",Bookings!$S$2:$S$12,"confirmed")</f>
        <v/>
      </c>
      <c r="F13" s="14">
        <f>SUMIFS(Bookings!$M$2:$M$12,Bookings!$G$2:$G$12,$A13,Bookings!$I$2:$I$12,"personal",Bookings!$S$2:$S$12,"pending_approval") + SUMIFS(Bookings!$M$2:$M$12,Bookings!$G$2:$G$12,$A13,Bookings!$I$2:$I$12,"personal",Bookings!$S$2:$S$12,"approved") + SUMIFS(Bookings!$M$2:$M$12,Bookings!$G$2:$G$12,$A13,Bookings!$I$2:$I$12,"personal",Bookings!$S$2:$S$12,"confirmed")</f>
        <v/>
      </c>
      <c r="G13" s="14">
        <f>SUMIFS('Group Ledger'!$F$2:$F$5,'Group Ledger'!$E$2:$E$5,A13)</f>
        <v/>
      </c>
      <c r="H13" s="14">
        <f>SUM('Group Ledger'!L2:L5)</f>
        <v/>
      </c>
      <c r="I13" s="14">
        <f>E13+F13+H13</f>
        <v/>
      </c>
      <c r="J13" s="14">
        <f>D13+E13+F13+G13</f>
        <v/>
      </c>
    </row>
    <row r="14">
      <c r="A14" s="8" t="inlineStr">
        <is>
          <t>Tom Becker</t>
        </is>
      </c>
      <c r="B14" s="8" t="inlineStr">
        <is>
          <t>Friend</t>
        </is>
      </c>
      <c r="C14" s="8" t="inlineStr">
        <is>
          <t>Guest</t>
        </is>
      </c>
      <c r="D14" s="14">
        <f>SUMIFS(Bookings!$M$2:$M$12,Bookings!$G$2:$G$12,$A14,Bookings!$I$2:$I$12,"corporate",Bookings!$S$2:$S$12,"pending_approval") + SUMIFS(Bookings!$M$2:$M$12,Bookings!$G$2:$G$12,$A14,Bookings!$I$2:$I$12,"corporate",Bookings!$S$2:$S$12,"approved") + SUMIFS(Bookings!$M$2:$M$12,Bookings!$G$2:$G$12,$A14,Bookings!$I$2:$I$12,"corporate",Bookings!$S$2:$S$12,"confirmed")</f>
        <v/>
      </c>
      <c r="E14" s="14">
        <f>SUMIFS(Bookings!$M$2:$M$12,Bookings!$G$2:$G$12,$A14,Bookings!$I$2:$I$12,"reimbursable",Bookings!$S$2:$S$12,"pending_approval") + SUMIFS(Bookings!$M$2:$M$12,Bookings!$G$2:$G$12,$A14,Bookings!$I$2:$I$12,"reimbursable",Bookings!$S$2:$S$12,"approved") + SUMIFS(Bookings!$M$2:$M$12,Bookings!$G$2:$G$12,$A14,Bookings!$I$2:$I$12,"reimbursable",Bookings!$S$2:$S$12,"confirmed")</f>
        <v/>
      </c>
      <c r="F14" s="14">
        <f>SUMIFS(Bookings!$M$2:$M$12,Bookings!$G$2:$G$12,$A14,Bookings!$I$2:$I$12,"personal",Bookings!$S$2:$S$12,"pending_approval") + SUMIFS(Bookings!$M$2:$M$12,Bookings!$G$2:$G$12,$A14,Bookings!$I$2:$I$12,"personal",Bookings!$S$2:$S$12,"approved") + SUMIFS(Bookings!$M$2:$M$12,Bookings!$G$2:$G$12,$A14,Bookings!$I$2:$I$12,"personal",Bookings!$S$2:$S$12,"confirmed")</f>
        <v/>
      </c>
      <c r="G14" s="14">
        <f>SUMIFS('Group Ledger'!$F$2:$F$5,'Group Ledger'!$E$2:$E$5,A14)</f>
        <v/>
      </c>
      <c r="H14" s="14">
        <f>SUM('Group Ledger'!M2:M5)</f>
        <v/>
      </c>
      <c r="I14" s="14">
        <f>E14+F14+H14</f>
        <v/>
      </c>
      <c r="J14" s="14">
        <f>D14+E14+F14+G14</f>
        <v/>
      </c>
    </row>
    <row r="15">
      <c r="A15" s="17" t="inlineStr">
        <is>
          <t>Total</t>
        </is>
      </c>
      <c r="D15" s="20">
        <f>SUM(D2:D14)</f>
        <v/>
      </c>
      <c r="E15" s="20">
        <f>SUM(E2:E14)</f>
        <v/>
      </c>
      <c r="F15" s="20">
        <f>SUM(F2:F14)</f>
        <v/>
      </c>
      <c r="G15" s="20">
        <f>SUM(G2:G14)</f>
        <v/>
      </c>
      <c r="H15" s="20">
        <f>SUM(H2:H14)</f>
        <v/>
      </c>
      <c r="I15" s="20">
        <f>SUM(I2:I14)</f>
        <v/>
      </c>
      <c r="J15" s="20">
        <f>SUM(J2:J14)</f>
        <v/>
      </c>
    </row>
    <row r="17">
      <c r="A17" s="2" t="inlineStr">
        <is>
          <t>Only live bookings count (awaiting approval, approved, confirmed). Out of pocket = reimbursable + personal + own share of group spend.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32" customWidth="1" min="3" max="3"/>
    <col width="11" customWidth="1" min="4" max="4"/>
    <col width="7" customWidth="1" min="5" max="5"/>
    <col width="18" customWidth="1" min="6" max="6"/>
    <col width="12" customWidth="1" min="7" max="7"/>
    <col width="13" customWidth="1" min="8" max="8"/>
    <col width="46" customWidth="1" min="9" max="9"/>
    <col width="12" customWidth="1" min="10" max="10"/>
    <col width="20" customWidth="1" min="11" max="11"/>
  </cols>
  <sheetData>
    <row r="1">
      <c r="A1" s="7" t="inlineStr">
        <is>
          <t>Report</t>
        </is>
      </c>
      <c r="B1" s="7" t="inlineStr">
        <is>
          <t>Owner</t>
        </is>
      </c>
      <c r="C1" s="7" t="inlineStr">
        <is>
          <t>Type</t>
        </is>
      </c>
      <c r="D1" s="7" t="inlineStr">
        <is>
          <t>Routed to</t>
        </is>
      </c>
      <c r="E1" s="7" t="inlineStr">
        <is>
          <t>Lines</t>
        </is>
      </c>
      <c r="F1" s="7" t="inlineStr">
        <is>
          <t>Bookings</t>
        </is>
      </c>
      <c r="G1" s="7" t="inlineStr">
        <is>
          <t>Total ($)</t>
        </is>
      </c>
      <c r="H1" s="7" t="inlineStr">
        <is>
          <t>Claimable ($)</t>
        </is>
      </c>
      <c r="I1" s="7" t="inlineStr">
        <is>
          <t>Approval chain</t>
        </is>
      </c>
      <c r="J1" s="7" t="inlineStr">
        <is>
          <t>Status</t>
        </is>
      </c>
      <c r="K1" s="7" t="inlineStr">
        <is>
          <t>Submitted</t>
        </is>
      </c>
    </row>
    <row r="2">
      <c r="A2" s="8" t="inlineStr">
        <is>
          <t>ER-502</t>
        </is>
      </c>
      <c r="B2" s="8" t="inlineStr">
        <is>
          <t>Leo Martins</t>
        </is>
      </c>
      <c r="C2" s="8" t="inlineStr">
        <is>
          <t>Lifestyle &amp; wellbeing stipend</t>
        </is>
      </c>
      <c r="D2" s="8" t="inlineStr">
        <is>
          <t>Benefits</t>
        </is>
      </c>
      <c r="E2" s="8" t="n">
        <v>1</v>
      </c>
      <c r="F2" s="8" t="inlineStr">
        <is>
          <t>BK-1011</t>
        </is>
      </c>
      <c r="G2" s="13" t="n">
        <v>450</v>
      </c>
      <c r="H2" s="13" t="n">
        <v>450</v>
      </c>
      <c r="I2" s="8" t="inlineStr">
        <is>
          <t>Benefits team (Omar Haddad: approved)</t>
        </is>
      </c>
      <c r="J2" s="8" t="inlineStr">
        <is>
          <t>reimbursed</t>
        </is>
      </c>
      <c r="K2" s="8" t="inlineStr">
        <is>
          <t>2026-09-22T23:38:16.783Z</t>
        </is>
      </c>
    </row>
    <row r="3">
      <c r="A3" s="8" t="inlineStr">
        <is>
          <t>ER-501</t>
        </is>
      </c>
      <c r="B3" s="8" t="inlineStr">
        <is>
          <t>Maya Chen</t>
        </is>
      </c>
      <c r="C3" s="8" t="inlineStr">
        <is>
          <t>Business / client entertainment</t>
        </is>
      </c>
      <c r="D3" s="8" t="inlineStr">
        <is>
          <t>Finance</t>
        </is>
      </c>
      <c r="E3" s="8" t="n">
        <v>1</v>
      </c>
      <c r="F3" s="8" t="inlineStr">
        <is>
          <t>BK-1010</t>
        </is>
      </c>
      <c r="G3" s="13" t="n">
        <v>280</v>
      </c>
      <c r="H3" s="13" t="n">
        <v>280</v>
      </c>
      <c r="I3" s="8" t="inlineStr">
        <is>
          <t>Manager (Raj Patel: approved) → Finance team (Sam Okafor: pending)</t>
        </is>
      </c>
      <c r="J3" s="8" t="inlineStr">
        <is>
          <t>submitted</t>
        </is>
      </c>
      <c r="K3" s="8" t="inlineStr">
        <is>
          <t>2026-09-22T23:38:16.783Z</t>
        </is>
      </c>
    </row>
    <row r="5">
      <c r="A5" s="3" t="inlineStr">
        <is>
          <t>Routing rules</t>
        </is>
      </c>
    </row>
    <row r="6">
      <c r="A6" s="8" t="inlineStr">
        <is>
          <t>Client / business</t>
        </is>
      </c>
      <c r="C6" s="8" t="inlineStr">
        <is>
          <t>Manager → Finance</t>
        </is>
      </c>
    </row>
    <row r="7">
      <c r="A7" s="8" t="inlineStr">
        <is>
          <t>Team morale, celebrations &amp; offsites</t>
        </is>
      </c>
      <c r="C7" s="8" t="inlineStr">
        <is>
          <t>Manager → HR</t>
        </is>
      </c>
    </row>
    <row r="8">
      <c r="A8" s="8" t="inlineStr">
        <is>
          <t>Lifestyle &amp; wellbeing stipend</t>
        </is>
      </c>
      <c r="C8" s="8" t="inlineStr">
        <is>
          <t>Benefits (capped at stipend balance)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Split calculator</t>
        </is>
      </c>
    </row>
    <row r="2">
      <c r="A2" s="2" t="inlineStr">
        <is>
          <t>Enter the amount and method (yellow). Weights: exact $, percent, or share units. 'equal' ignores weights.</t>
        </is>
      </c>
    </row>
    <row r="4">
      <c r="A4" s="17" t="inlineStr">
        <is>
          <t>Amount ($)</t>
        </is>
      </c>
      <c r="B4" s="21" t="n">
        <v>300</v>
      </c>
    </row>
    <row r="5">
      <c r="A5" s="17" t="inlineStr">
        <is>
          <t>Method</t>
        </is>
      </c>
      <c r="B5" s="22" t="inlineStr">
        <is>
          <t>shares</t>
        </is>
      </c>
    </row>
    <row r="7">
      <c r="A7" s="7" t="inlineStr">
        <is>
          <t>Member</t>
        </is>
      </c>
      <c r="B7" s="7" t="inlineStr">
        <is>
          <t>Weight (input)</t>
        </is>
      </c>
      <c r="C7" s="7" t="inlineStr">
        <is>
          <t>Share ($)</t>
        </is>
      </c>
    </row>
    <row r="8">
      <c r="A8" s="12" t="inlineStr">
        <is>
          <t>Maya</t>
        </is>
      </c>
      <c r="B8" s="12" t="n">
        <v>2</v>
      </c>
      <c r="C8" s="14">
        <f>IF($B$5="equal",IF(COUNTA($A$8:$A$11)&gt;0,$B$4/COUNTA($A$8:$A$11),0),IF($B$5="exact",B8,IF($B$5="percent",$B$4*B8/100,IF(SUM($B$8:$B$11)&gt;0,$B$4*B8/SUM($B$8:$B$11),0))))</f>
        <v/>
      </c>
    </row>
    <row r="9">
      <c r="A9" s="12" t="inlineStr">
        <is>
          <t>Daniel</t>
        </is>
      </c>
      <c r="B9" s="12" t="n">
        <v>1</v>
      </c>
      <c r="C9" s="14">
        <f>IF($B$5="equal",IF(COUNTA($A$8:$A$11)&gt;0,$B$4/COUNTA($A$8:$A$11),0),IF($B$5="exact",B9,IF($B$5="percent",$B$4*B9/100,IF(SUM($B$8:$B$11)&gt;0,$B$4*B9/SUM($B$8:$B$11),0))))</f>
        <v/>
      </c>
    </row>
    <row r="10">
      <c r="A10" s="12" t="inlineStr">
        <is>
          <t>Lucy</t>
        </is>
      </c>
      <c r="B10" s="12" t="n">
        <v>1</v>
      </c>
      <c r="C10" s="14">
        <f>IF($B$5="equal",IF(COUNTA($A$8:$A$11)&gt;0,$B$4/COUNTA($A$8:$A$11),0),IF($B$5="exact",B10,IF($B$5="percent",$B$4*B10/100,IF(SUM($B$8:$B$11)&gt;0,$B$4*B10/SUM($B$8:$B$11),0))))</f>
        <v/>
      </c>
    </row>
    <row r="11">
      <c r="A11" s="12" t="inlineStr">
        <is>
          <t>Guest</t>
        </is>
      </c>
      <c r="B11" s="12" t="n">
        <v>0</v>
      </c>
      <c r="C11" s="14">
        <f>IF($B$5="equal",IF(COUNTA($A$8:$A$11)&gt;0,$B$4/COUNTA($A$8:$A$11),0),IF($B$5="exact",B11,IF($B$5="percent",$B$4*B11/100,IF(SUM($B$8:$B$11)&gt;0,$B$4*B11/SUM($B$8:$B$11),0))))</f>
        <v/>
      </c>
    </row>
    <row r="12">
      <c r="A12" s="17" t="inlineStr">
        <is>
          <t>Total of shares</t>
        </is>
      </c>
      <c r="C12" s="20">
        <f>SUM(C8:C11)</f>
        <v/>
      </c>
    </row>
    <row r="13">
      <c r="A13" s="17" t="inlineStr">
        <is>
          <t>Check</t>
        </is>
      </c>
      <c r="C13" s="17">
        <f>IF(ROUND(C12-B4,2)=0,"Adds up","Does not add up")</f>
        <v/>
      </c>
    </row>
    <row r="15">
      <c r="A15" s="2" t="inlineStr">
        <is>
          <t>Example: $300 with shares 2:1:1:0 → $150 / $75 / $75 / $0. The app rounds to cents and hands leftover cents to the largest weights.</t>
        </is>
      </c>
    </row>
  </sheetData>
  <dataValidations count="1">
    <dataValidation sqref="B5" showDropDown="0" showInputMessage="0" showErrorMessage="0" allowBlank="0" type="list">
      <formula1>"equal,exact,percent,shares"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40" customWidth="1" min="4" max="4"/>
    <col width="26" customWidth="1" min="5" max="5"/>
  </cols>
  <sheetData>
    <row r="1">
      <c r="A1" s="7" t="inlineStr">
        <is>
          <t>Step</t>
        </is>
      </c>
      <c r="B1" s="7" t="inlineStr">
        <is>
          <t>Agent / actor</t>
        </is>
      </c>
      <c r="C1" s="7" t="inlineStr">
        <is>
          <t>What happens</t>
        </is>
      </c>
      <c r="D1" s="7" t="inlineStr">
        <is>
          <t>Output</t>
        </is>
      </c>
      <c r="E1" s="7" t="inlineStr">
        <is>
          <t>Where to see it in the app</t>
        </is>
      </c>
    </row>
    <row r="2">
      <c r="A2" s="23" t="n">
        <v>1</v>
      </c>
      <c r="B2" s="23" t="inlineStr">
        <is>
          <t>Requester</t>
        </is>
      </c>
      <c r="C2" s="23" t="inlineStr">
        <is>
          <t>Types a plain-language request, e.g. 'Client dinner for 4 tonight'.</t>
        </is>
      </c>
      <c r="D2" s="23" t="inlineStr">
        <is>
          <t>Free-text request</t>
        </is>
      </c>
      <c r="E2" s="23" t="inlineStr">
        <is>
          <t>Home → prompt</t>
        </is>
      </c>
    </row>
    <row r="3">
      <c r="A3" s="23" t="n">
        <v>2</v>
      </c>
      <c r="B3" s="23" t="inlineStr">
        <is>
          <t>Concierge agent</t>
        </is>
      </c>
      <c r="C3" s="23" t="inlineStr">
        <is>
          <t>Detects category, date, guests, vendor, price, funding (company / reimbursable / personal / shared) and purpose; matches a family or friends group.</t>
        </is>
      </c>
      <c r="D3" s="23" t="inlineStr">
        <is>
          <t>Priced booking draft</t>
        </is>
      </c>
      <c r="E3" s="23" t="inlineStr">
        <is>
          <t>Home → Booking draft</t>
        </is>
      </c>
    </row>
    <row r="4">
      <c r="A4" s="23" t="n">
        <v>3</v>
      </c>
      <c r="B4" s="23" t="inlineStr">
        <is>
          <t>Budget agent</t>
        </is>
      </c>
      <c r="C4" s="23" t="inlineStr">
        <is>
          <t>Checks the right pot: department quarterly budget, wellbeing stipend or personal monthly budget.</t>
        </is>
      </c>
      <c r="D4" s="23" t="inlineStr">
        <is>
          <t>ok / warn / over + notes</t>
        </is>
      </c>
      <c r="E4" s="23" t="inlineStr">
        <is>
          <t>Home → Budget agent card</t>
        </is>
      </c>
    </row>
    <row r="5">
      <c r="A5" s="23" t="n">
        <v>4</v>
      </c>
      <c r="B5" s="23" t="inlineStr">
        <is>
          <t>Policy agent</t>
        </is>
      </c>
      <c r="C5" s="23" t="inlineStr">
        <is>
          <t>Builds the approval chain from thresholds, caps, compliance categories and budget status; removes self-approval.</t>
        </is>
      </c>
      <c r="D5" s="23" t="inlineStr">
        <is>
          <t>Ordered approvers or auto-approval</t>
        </is>
      </c>
      <c r="E5" s="23" t="inlineStr">
        <is>
          <t>Home → Policy agent card</t>
        </is>
      </c>
    </row>
    <row r="6">
      <c r="A6" s="23" t="n">
        <v>5</v>
      </c>
      <c r="B6" s="23" t="inlineStr">
        <is>
          <t>Requester</t>
        </is>
      </c>
      <c r="C6" s="23" t="inlineStr">
        <is>
          <t>Edits anything on the draft and confirms.</t>
        </is>
      </c>
      <c r="D6" s="23" t="inlineStr">
        <is>
          <t>Booking created</t>
        </is>
      </c>
      <c r="E6" s="23" t="inlineStr">
        <is>
          <t>Bookings</t>
        </is>
      </c>
    </row>
    <row r="7">
      <c r="A7" s="23" t="n">
        <v>6</v>
      </c>
      <c r="B7" s="23" t="inlineStr">
        <is>
          <t>Approval agent</t>
        </is>
      </c>
      <c r="C7" s="23" t="inlineStr">
        <is>
          <t>Notifies the current approver; each approves or rejects in order; rejection stops the chain.</t>
        </is>
      </c>
      <c r="D7" s="23" t="inlineStr">
        <is>
          <t>Approved / rejected</t>
        </is>
      </c>
      <c r="E7" s="23" t="inlineStr">
        <is>
          <t>Approvals inbox</t>
        </is>
      </c>
    </row>
    <row r="8">
      <c r="A8" s="23" t="n">
        <v>7</v>
      </c>
      <c r="B8" s="23" t="inlineStr">
        <is>
          <t>Booking agent</t>
        </is>
      </c>
      <c r="C8" s="23" t="inlineStr">
        <is>
          <t>Confirms with the vendor, issues a confirmation code, sends invites.</t>
        </is>
      </c>
      <c r="D8" s="23" t="inlineStr">
        <is>
          <t>Confirmed booking</t>
        </is>
      </c>
      <c r="E8" s="23" t="inlineStr">
        <is>
          <t>Bookings → details</t>
        </is>
      </c>
    </row>
    <row r="9">
      <c r="A9" s="23" t="n">
        <v>8</v>
      </c>
      <c r="B9" s="23" t="inlineStr">
        <is>
          <t>Split agent</t>
        </is>
      </c>
      <c r="C9" s="23" t="inlineStr">
        <is>
          <t>Shared bookings: posts to the group ledger, computes shares, balances and fewest-payments settle-up.</t>
        </is>
      </c>
      <c r="D9" s="23" t="inlineStr">
        <is>
          <t>Group ledger entry</t>
        </is>
      </c>
      <c r="E9" s="23" t="inlineStr">
        <is>
          <t>Family &amp; friends</t>
        </is>
      </c>
    </row>
    <row r="10">
      <c r="A10" s="23" t="n">
        <v>9</v>
      </c>
      <c r="B10" s="23" t="inlineStr">
        <is>
          <t>Expense agent</t>
        </is>
      </c>
      <c r="C10" s="23" t="inlineStr">
        <is>
          <t>Reimbursable bookings: become claimable; report drafted with receipts and routed to Finance, HR or Benefits.</t>
        </is>
      </c>
      <c r="D10" s="23" t="inlineStr">
        <is>
          <t>Expense report</t>
        </is>
      </c>
      <c r="E10" s="23" t="inlineStr">
        <is>
          <t>Expense reports</t>
        </is>
      </c>
    </row>
    <row r="11">
      <c r="A11" s="23" t="n">
        <v>10</v>
      </c>
      <c r="B11" s="23" t="inlineStr">
        <is>
          <t>Finance / HR / Benefits</t>
        </is>
      </c>
      <c r="C11" s="23" t="inlineStr">
        <is>
          <t>Final approval; reimbursement paid; stipend reduced for wellbeing claims.</t>
        </is>
      </c>
      <c r="D11" s="23" t="inlineStr">
        <is>
          <t>Reimbursed</t>
        </is>
      </c>
      <c r="E11" s="23" t="inlineStr">
        <is>
          <t>Expense reports / Budgets &amp; spend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2026-09-22T23:38:16Z</dcterms:created>
  <dcterms:modified xmlns:dcterms="http://purl.org/dc/terms/" xmlns:xsi="http://www.w3.org/2001/XMLSchema-instance" xsi:type="dcterms:W3CDTF">2026-09-22T23:38:16Z</dcterms:modified>
</cp:coreProperties>
</file>