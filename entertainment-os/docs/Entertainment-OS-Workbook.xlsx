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licy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Group Ledger" sheetId="5" state="visible" r:id="rId5"/>
    <sheet xmlns:r="http://schemas.openxmlformats.org/officeDocument/2006/relationships" name="Group Balances" sheetId="6" state="visible" r:id="rId6"/>
    <sheet xmlns:r="http://schemas.openxmlformats.org/officeDocument/2006/relationships" name="Spend by Person" sheetId="7" state="visible" r:id="rId7"/>
    <sheet xmlns:r="http://schemas.openxmlformats.org/officeDocument/2006/relationships" name="Expense Reports" sheetId="8" state="visible" r:id="rId8"/>
    <sheet xmlns:r="http://schemas.openxmlformats.org/officeDocument/2006/relationships" name="Split Calculator" sheetId="9" state="visible" r:id="rId9"/>
    <sheet xmlns:r="http://schemas.openxmlformats.org/officeDocument/2006/relationships" name="Locations" sheetId="10" state="visible" r:id="rId10"/>
    <sheet xmlns:r="http://schemas.openxmlformats.org/officeDocument/2006/relationships" name="Catalog" sheetId="11" state="visible" r:id="rId11"/>
    <sheet xmlns:r="http://schemas.openxmlformats.org/officeDocument/2006/relationships" name="Flo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&quot;₹&quot;##\,##\,##\,##0;[&gt;=100000]&quot;₹&quot;##\,##\,##0;&quot;₹&quot;#,##0"/>
    <numFmt numFmtId="165" formatCode="0.0%;(0.0%);&quot;-&quot;"/>
    <numFmt numFmtId="166" formatCode="&quot;₹&quot;#,##0.00;-&quot;₹&quot;#,##0.00;&quot;-&quot;"/>
  </numFmts>
  <fonts count="7">
    <font>
      <name val="Calibri"/>
      <family val="2"/>
      <color theme="1"/>
      <sz val="11"/>
      <scheme val="minor"/>
    </font>
    <font>
      <name val="Arial"/>
      <b val="1"/>
      <color rgb="004B3FD1"/>
      <sz val="16"/>
    </font>
    <font>
      <name val="Arial"/>
      <i val="1"/>
      <color rgb="00777777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B3FD1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vertical="center" wrapText="1"/>
    </xf>
    <xf numFmtId="0" fontId="4" fillId="0" borderId="1" pivotButton="0" quotePrefix="0" xfId="0"/>
    <xf numFmtId="164" fontId="5" fillId="2" borderId="1" pivotButton="0" quotePrefix="0" xfId="0"/>
    <xf numFmtId="0" fontId="6" fillId="3" borderId="1" pivotButton="0" quotePrefix="0" xfId="0"/>
    <xf numFmtId="164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166" fontId="3" fillId="0" borderId="1" pivotButton="0" quotePrefix="0" xfId="0"/>
    <xf numFmtId="166" fontId="5" fillId="2" borderId="1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Entertainment OS</author>
  </authors>
  <commentList>
    <comment ref="B4" authorId="0" shapeId="0">
      <text>
        <t>Example value — replace with your bill total.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8" customWidth="1" min="2" max="2"/>
  </cols>
  <sheetData>
    <row r="1">
      <c r="A1" s="1" t="inlineStr">
        <is>
          <t>Entertainment OS — Operations Workbook (India)</t>
        </is>
      </c>
    </row>
    <row r="2">
      <c r="A2" s="2" t="inlineStr">
        <is>
          <t>Northwind India Pvt. Ltd. · FY27 Q2 (Jul–Sep 2026) · all amounts in Indian rupees (₹) · generated from the demo run of the agent pipeline</t>
        </is>
      </c>
    </row>
    <row r="4">
      <c r="A4" s="3" t="inlineStr">
        <is>
          <t>Sheet</t>
        </is>
      </c>
      <c r="B4" s="4" t="inlineStr">
        <is>
          <t>What it shows</t>
        </is>
      </c>
    </row>
    <row r="5">
      <c r="A5" s="4" t="inlineStr">
        <is>
          <t>Policy</t>
        </is>
      </c>
      <c r="B5" s="4" t="inlineStr">
        <is>
          <t>Approval thresholds and per-person caps in ₹ (inputs). Change them and every booking's approval chain recalculates.</t>
        </is>
      </c>
    </row>
    <row r="6">
      <c r="A6" s="4" t="inlineStr">
        <is>
          <t>Bookings</t>
        </is>
      </c>
      <c r="B6" s="4" t="inlineStr">
        <is>
          <t>Every booking: request, city, who booked it, who pays, seats/tickets, amount, status and the approval chain the policy requires.</t>
        </is>
      </c>
    </row>
    <row r="7">
      <c r="A7" s="4" t="inlineStr">
        <is>
          <t>Budgets</t>
        </is>
      </c>
      <c r="B7" s="4" t="inlineStr">
        <is>
          <t>Department quarterly budgets vs committed company spend.</t>
        </is>
      </c>
    </row>
    <row r="8">
      <c r="A8" s="4" t="inlineStr">
        <is>
          <t>Spend by Person</t>
        </is>
      </c>
      <c r="B8" s="4" t="inlineStr">
        <is>
          <t>Who is spending how much: company-paid, reimbursable, personal, and share of family/friends group spend.</t>
        </is>
      </c>
    </row>
    <row r="9">
      <c r="A9" s="4" t="inlineStr">
        <is>
          <t>Expense Reports</t>
        </is>
      </c>
      <c r="B9" s="4" t="inlineStr">
        <is>
          <t>Personally-paid spend claimed back, routed to Finance, HR or Benefits.</t>
        </is>
      </c>
    </row>
    <row r="10">
      <c r="A10" s="4" t="inlineStr">
        <is>
          <t>Group Ledger</t>
        </is>
      </c>
      <c r="B10" s="4" t="inlineStr">
        <is>
          <t>Family &amp; friends expenses with each member's share (Splitwise style) and UPI settlements.</t>
        </is>
      </c>
    </row>
    <row r="11">
      <c r="A11" s="4" t="inlineStr">
        <is>
          <t>Group Balances</t>
        </is>
      </c>
      <c r="B11" s="4" t="inlineStr">
        <is>
          <t>Net balance per member = paid − share + settlements sent − settlements received.</t>
        </is>
      </c>
    </row>
    <row r="12">
      <c r="A12" s="4" t="inlineStr">
        <is>
          <t>Split Calculator</t>
        </is>
      </c>
      <c r="B12" s="4" t="inlineStr">
        <is>
          <t>Try a split: enter an amount, pick a method and weights.</t>
        </is>
      </c>
    </row>
    <row r="13">
      <c r="A13" s="4" t="inlineStr">
        <is>
          <t>Locations</t>
        </is>
      </c>
      <c r="B13" s="4" t="inlineStr">
        <is>
          <t>Country → State → City list used by the location picker. 'Other' lets anyone type a place that isn't listed.</t>
        </is>
      </c>
    </row>
    <row r="14">
      <c r="A14" s="4" t="inlineStr">
        <is>
          <t>Catalog</t>
        </is>
      </c>
      <c r="B14" s="4" t="inlineStr">
        <is>
          <t>Films now showing, their languages and formats, and the event types listed near you.</t>
        </is>
      </c>
    </row>
    <row r="15">
      <c r="A15" s="4" t="inlineStr">
        <is>
          <t>Flow</t>
        </is>
      </c>
      <c r="B15" s="4" t="inlineStr">
        <is>
          <t>Step-by-step flow of a request through the agents.</t>
        </is>
      </c>
    </row>
    <row r="16">
      <c r="A16" s="4" t="inlineStr"/>
      <c r="B16" s="4" t="inlineStr"/>
    </row>
    <row r="17">
      <c r="A17" s="3" t="inlineStr">
        <is>
          <t>Legend</t>
        </is>
      </c>
      <c r="B17" s="4" t="inlineStr"/>
    </row>
    <row r="18">
      <c r="A18" s="5" t="inlineStr">
        <is>
          <t>Blue text</t>
        </is>
      </c>
      <c r="B18" s="4" t="inlineStr">
        <is>
          <t>Hard-coded input — safe to edit.</t>
        </is>
      </c>
    </row>
    <row r="19">
      <c r="A19" s="6" t="inlineStr">
        <is>
          <t>Yellow fill</t>
        </is>
      </c>
      <c r="B19" s="4" t="inlineStr">
        <is>
          <t>Key assumption / cell you are expected to change.</t>
        </is>
      </c>
    </row>
    <row r="20">
      <c r="A20" s="4" t="inlineStr">
        <is>
          <t>Black text</t>
        </is>
      </c>
      <c r="B20" s="4" t="inlineStr">
        <is>
          <t>Formula — do not overwrite.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4" customWidth="1" min="3" max="3"/>
  </cols>
  <sheetData>
    <row r="1">
      <c r="A1" s="1" t="inlineStr">
        <is>
          <t>Policy inputs (₹)</t>
        </is>
      </c>
    </row>
    <row r="2">
      <c r="A2" s="2" t="inlineStr">
        <is>
          <t>Source: src/seed.js → POLICY, set by Finance. Edit the blue cells; Bookings column T recalculates.</t>
        </is>
      </c>
    </row>
    <row r="4">
      <c r="A4" s="7" t="inlineStr">
        <is>
          <t>Threshold</t>
        </is>
      </c>
      <c r="B4" s="7" t="inlineStr">
        <is>
          <t>Value (₹)</t>
        </is>
      </c>
      <c r="C4" s="7" t="inlineStr">
        <is>
          <t>Meaning</t>
        </is>
      </c>
    </row>
    <row r="5">
      <c r="A5" s="8" t="inlineStr">
        <is>
          <t>Auto-approve limit</t>
        </is>
      </c>
      <c r="B5" s="9" t="n">
        <v>20000</v>
      </c>
      <c r="C5" s="8" t="inlineStr">
        <is>
          <t>Company spend at or below this, within budget and caps, is auto-approved.</t>
        </is>
      </c>
    </row>
    <row r="6">
      <c r="A6" s="8" t="inlineStr">
        <is>
          <t>Manager limit</t>
        </is>
      </c>
      <c r="B6" s="9" t="n">
        <v>200000</v>
      </c>
      <c r="C6" s="8" t="inlineStr">
        <is>
          <t>Above this the department head is added.</t>
        </is>
      </c>
    </row>
    <row r="7">
      <c r="A7" s="8" t="inlineStr">
        <is>
          <t>Department head limit</t>
        </is>
      </c>
      <c r="B7" s="9" t="n">
        <v>800000</v>
      </c>
      <c r="C7" s="8" t="inlineStr">
        <is>
          <t>Above this Finance (CFO) is added.</t>
        </is>
      </c>
    </row>
    <row r="10">
      <c r="A10" s="3" t="inlineStr">
        <is>
          <t>Per-person caps (company money)</t>
        </is>
      </c>
    </row>
    <row r="11">
      <c r="A11" s="10" t="inlineStr">
        <is>
          <t>Category key</t>
        </is>
      </c>
      <c r="B11" s="10" t="inlineStr">
        <is>
          <t>Cap per person (₹)</t>
        </is>
      </c>
      <c r="C11" s="10" t="inlineStr">
        <is>
          <t>Category</t>
        </is>
      </c>
    </row>
    <row r="12">
      <c r="A12" s="8" t="inlineStr">
        <is>
          <t>movies</t>
        </is>
      </c>
      <c r="B12" s="11" t="n">
        <v>1000</v>
      </c>
      <c r="C12" s="8" t="inlineStr">
        <is>
          <t>Movies</t>
        </is>
      </c>
    </row>
    <row r="13">
      <c r="A13" s="8" t="inlineStr">
        <is>
          <t>events</t>
        </is>
      </c>
      <c r="B13" s="11" t="n">
        <v>25000</v>
      </c>
      <c r="C13" s="8" t="inlineStr">
        <is>
          <t>Events &amp; live</t>
        </is>
      </c>
    </row>
    <row r="14">
      <c r="A14" s="8" t="inlineStr">
        <is>
          <t>reservations</t>
        </is>
      </c>
      <c r="B14" s="11" t="n">
        <v>4000</v>
      </c>
      <c r="C14" s="8" t="inlineStr">
        <is>
          <t>Dining</t>
        </is>
      </c>
    </row>
    <row r="15">
      <c r="A15" s="8" t="inlineStr">
        <is>
          <t>pdr</t>
        </is>
      </c>
      <c r="B15" s="11" t="n">
        <v>5000</v>
      </c>
      <c r="C15" s="8" t="inlineStr">
        <is>
          <t>Private dining</t>
        </is>
      </c>
    </row>
    <row r="16">
      <c r="A16" s="8" t="inlineStr">
        <is>
          <t>catering</t>
        </is>
      </c>
      <c r="B16" s="11" t="n">
        <v>1500</v>
      </c>
      <c r="C16" s="8" t="inlineStr">
        <is>
          <t>Catering</t>
        </is>
      </c>
    </row>
    <row r="17">
      <c r="A17" s="8" t="inlineStr">
        <is>
          <t>gifting</t>
        </is>
      </c>
      <c r="B17" s="11" t="n">
        <v>5000</v>
      </c>
      <c r="C17" s="8" t="inlineStr">
        <is>
          <t>Gifting &amp; merch</t>
        </is>
      </c>
    </row>
    <row r="18">
      <c r="A18" s="8" t="inlineStr">
        <is>
          <t>experiences</t>
        </is>
      </c>
      <c r="B18" s="11" t="n">
        <v>40000</v>
      </c>
      <c r="C18" s="8" t="inlineStr">
        <is>
          <t>Experiences</t>
        </is>
      </c>
    </row>
    <row r="20">
      <c r="A20" s="3" t="inlineStr">
        <is>
          <t>Compliance review categories (client-facing only)</t>
        </is>
      </c>
    </row>
    <row r="21">
      <c r="A21" s="12" t="inlineStr">
        <is>
          <t>events</t>
        </is>
      </c>
    </row>
    <row r="22">
      <c r="A22" s="12" t="inlineStr">
        <is>
          <t>gifting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8" customWidth="1" min="4" max="4"/>
    <col width="44" customWidth="1" min="5" max="5"/>
    <col width="40" customWidth="1" min="6" max="6"/>
    <col width="34" customWidth="1" min="7" max="7"/>
    <col width="12" customWidth="1" min="8" max="8"/>
    <col width="14" customWidth="1" min="9" max="9"/>
    <col width="14" customWidth="1" min="10" max="10"/>
    <col width="9" customWidth="1" min="11" max="11"/>
    <col width="13" customWidth="1" min="12" max="12"/>
    <col width="11" customWidth="1" min="13" max="13"/>
    <col width="8" customWidth="1" min="14" max="14"/>
    <col width="9" customWidth="1" min="15" max="15"/>
    <col width="14" customWidth="1" min="16" max="16"/>
    <col width="13" customWidth="1" min="17" max="17"/>
    <col width="10" customWidth="1" min="18" max="18"/>
    <col width="9" customWidth="1" min="19" max="19"/>
    <col width="42" customWidth="1" min="20" max="20"/>
    <col width="50" customWidth="1" min="21" max="21"/>
    <col width="16" customWidth="1" min="22" max="22"/>
    <col width="14" customWidth="1" min="23" max="23"/>
    <col width="26" customWidth="1" min="24" max="24"/>
  </cols>
  <sheetData>
    <row r="1">
      <c r="A1" s="7" t="inlineStr">
        <is>
          <t>Booking</t>
        </is>
      </c>
      <c r="B1" s="7" t="inlineStr">
        <is>
          <t>Date</t>
        </is>
      </c>
      <c r="C1" s="7" t="inlineStr">
        <is>
          <t>Category key</t>
        </is>
      </c>
      <c r="D1" s="7" t="inlineStr">
        <is>
          <t>Category</t>
        </is>
      </c>
      <c r="E1" s="7" t="inlineStr">
        <is>
          <t>Request (as typed)</t>
        </is>
      </c>
      <c r="F1" s="7" t="inlineStr">
        <is>
          <t>Title</t>
        </is>
      </c>
      <c r="G1" s="7" t="inlineStr">
        <is>
          <t>Vendor / venue</t>
        </is>
      </c>
      <c r="H1" s="7" t="inlineStr">
        <is>
          <t>City</t>
        </is>
      </c>
      <c r="I1" s="7" t="inlineStr">
        <is>
          <t>State</t>
        </is>
      </c>
      <c r="J1" s="7" t="inlineStr">
        <is>
          <t>Booked by</t>
        </is>
      </c>
      <c r="K1" s="7" t="inlineStr">
        <is>
          <t>Dept</t>
        </is>
      </c>
      <c r="L1" s="7" t="inlineStr">
        <is>
          <t>Who pays</t>
        </is>
      </c>
      <c r="M1" s="7" t="inlineStr">
        <is>
          <t>Purpose</t>
        </is>
      </c>
      <c r="N1" s="7" t="inlineStr">
        <is>
          <t>Client-facing</t>
        </is>
      </c>
      <c r="O1" s="7" t="inlineStr">
        <is>
          <t>Guests / tickets</t>
        </is>
      </c>
      <c r="P1" s="7" t="inlineStr">
        <is>
          <t>Amount (₹)</t>
        </is>
      </c>
      <c r="Q1" s="7" t="inlineStr">
        <is>
          <t>Per person (₹)</t>
        </is>
      </c>
      <c r="R1" s="7" t="inlineStr">
        <is>
          <t>Cap (₹)</t>
        </is>
      </c>
      <c r="S1" s="7" t="inlineStr">
        <is>
          <t>Over cap?</t>
        </is>
      </c>
      <c r="T1" s="7" t="inlineStr">
        <is>
          <t>Policy approval chain</t>
        </is>
      </c>
      <c r="U1" s="7" t="inlineStr">
        <is>
          <t>Approvals recorded by the agents</t>
        </is>
      </c>
      <c r="V1" s="7" t="inlineStr">
        <is>
          <t>Status</t>
        </is>
      </c>
      <c r="W1" s="7" t="inlineStr">
        <is>
          <t>Group</t>
        </is>
      </c>
      <c r="X1" s="7" t="inlineStr">
        <is>
          <t>Seats / tickets</t>
        </is>
      </c>
    </row>
    <row r="2">
      <c r="A2" s="8" t="inlineStr">
        <is>
          <t>BK-1001</t>
        </is>
      </c>
      <c r="B2" s="8" t="inlineStr">
        <is>
          <t>2026-09-23</t>
        </is>
      </c>
      <c r="C2" s="8" t="inlineStr">
        <is>
          <t>reservations</t>
        </is>
      </c>
      <c r="D2" s="8" t="inlineStr">
        <is>
          <t>Dining</t>
        </is>
      </c>
      <c r="E2" s="8" t="inlineStr">
        <is>
          <t>Client dinner for 6 tonight</t>
        </is>
      </c>
      <c r="F2" s="8" t="inlineStr">
        <is>
          <t>Client dinner for 6 tonight</t>
        </is>
      </c>
      <c r="G2" s="8" t="inlineStr">
        <is>
          <t>Bengaluru Supper Club</t>
        </is>
      </c>
      <c r="H2" s="8" t="inlineStr">
        <is>
          <t>Bengaluru</t>
        </is>
      </c>
      <c r="I2" s="8" t="inlineStr">
        <is>
          <t>Karnataka</t>
        </is>
      </c>
      <c r="J2" s="8" t="inlineStr">
        <is>
          <t>Ananya Iyer</t>
        </is>
      </c>
      <c r="K2" s="8" t="inlineStr">
        <is>
          <t>sales</t>
        </is>
      </c>
      <c r="L2" s="12" t="inlineStr">
        <is>
          <t>corporate</t>
        </is>
      </c>
      <c r="M2" s="8" t="inlineStr">
        <is>
          <t>business</t>
        </is>
      </c>
      <c r="N2" s="12" t="inlineStr">
        <is>
          <t>Yes</t>
        </is>
      </c>
      <c r="O2" s="12" t="n">
        <v>6</v>
      </c>
      <c r="P2" s="11" t="n">
        <v>21000</v>
      </c>
      <c r="Q2" s="13">
        <f>IF(O2&gt;0,P2/O2,0)</f>
        <v/>
      </c>
      <c r="R2" s="13">
        <f>IFERROR(INDEX(Policy!$B$12:$B$18,MATCH(C2,Policy!$A$12:$A$18,0)),0)</f>
        <v/>
      </c>
      <c r="S2" s="8">
        <f>IF(AND(L2="corporate",Q2&gt;R2),"Yes","No")</f>
        <v/>
      </c>
      <c r="T2" s="8">
        <f>IF(L2&lt;&gt;"corporate","None (not company money)",IF(AND(P2&lt;=Policy!$B$5,S2="No"),"Auto-approved","Manager"&amp;IF(OR(P2&gt;Policy!$B$6,S2="Yes")," → Dept head","")&amp;IF(AND(N2="Yes",OR(C2=Policy!$A$21,C2=Policy!$A$22))," → Compliance","")&amp;IF(P2&gt;Policy!$B$7," → Finance","")))</f>
        <v/>
      </c>
      <c r="U2" s="8" t="inlineStr">
        <is>
          <t>Manager (Rahul Mehta: pending)</t>
        </is>
      </c>
      <c r="V2" s="8" t="inlineStr">
        <is>
          <t>pending_approval</t>
        </is>
      </c>
      <c r="W2" s="8" t="inlineStr"/>
      <c r="X2" s="8" t="inlineStr"/>
    </row>
    <row r="3">
      <c r="A3" s="8" t="inlineStr">
        <is>
          <t>BK-1002</t>
        </is>
      </c>
      <c r="B3" s="8" t="inlineStr">
        <is>
          <t>2026-10-15</t>
        </is>
      </c>
      <c r="C3" s="8" t="inlineStr">
        <is>
          <t>pdr</t>
        </is>
      </c>
      <c r="D3" s="8" t="inlineStr">
        <is>
          <t>Private dining</t>
        </is>
      </c>
      <c r="E3" s="8" t="inlineStr">
        <is>
          <t>Private dining room for 30 on 15 Oct for the client summit</t>
        </is>
      </c>
      <c r="F3" s="8" t="inlineStr">
        <is>
          <t>Private dining room for 30 on 15 Oct for the client summit</t>
        </is>
      </c>
      <c r="G3" s="8" t="inlineStr">
        <is>
          <t>The Mumbai Grand — Private Dining Room</t>
        </is>
      </c>
      <c r="H3" s="8" t="inlineStr">
        <is>
          <t>Mumbai</t>
        </is>
      </c>
      <c r="I3" s="8" t="inlineStr">
        <is>
          <t>Maharashtra</t>
        </is>
      </c>
      <c r="J3" s="8" t="inlineStr">
        <is>
          <t>Rahul Mehta</t>
        </is>
      </c>
      <c r="K3" s="8" t="inlineStr">
        <is>
          <t>sales</t>
        </is>
      </c>
      <c r="L3" s="12" t="inlineStr">
        <is>
          <t>corporate</t>
        </is>
      </c>
      <c r="M3" s="8" t="inlineStr">
        <is>
          <t>business</t>
        </is>
      </c>
      <c r="N3" s="12" t="inlineStr">
        <is>
          <t>Yes</t>
        </is>
      </c>
      <c r="O3" s="12" t="n">
        <v>30</v>
      </c>
      <c r="P3" s="11" t="n">
        <v>135000</v>
      </c>
      <c r="Q3" s="13">
        <f>IF(O3&gt;0,P3/O3,0)</f>
        <v/>
      </c>
      <c r="R3" s="13">
        <f>IFERROR(INDEX(Policy!$B$12:$B$18,MATCH(C3,Policy!$A$12:$A$18,0)),0)</f>
        <v/>
      </c>
      <c r="S3" s="8">
        <f>IF(AND(L3="corporate",Q3&gt;R3),"Yes","No")</f>
        <v/>
      </c>
      <c r="T3" s="8">
        <f>IF(L3&lt;&gt;"corporate","None (not company money)",IF(AND(P3&lt;=Policy!$B$5,S3="No"),"Auto-approved","Manager"&amp;IF(OR(P3&gt;Policy!$B$6,S3="Yes")," → Dept head","")&amp;IF(AND(N3="Yes",OR(C3=Policy!$A$21,C3=Policy!$A$22))," → Compliance","")&amp;IF(P3&gt;Policy!$B$7," → Finance","")))</f>
        <v/>
      </c>
      <c r="U3" s="8" t="inlineStr">
        <is>
          <t>Manager (Priya Sharma: approved)</t>
        </is>
      </c>
      <c r="V3" s="8" t="inlineStr">
        <is>
          <t>confirmed</t>
        </is>
      </c>
      <c r="W3" s="8" t="inlineStr"/>
      <c r="X3" s="8" t="inlineStr"/>
    </row>
    <row r="4">
      <c r="A4" s="8" t="inlineStr">
        <is>
          <t>BK-1003</t>
        </is>
      </c>
      <c r="B4" s="8" t="inlineStr">
        <is>
          <t>2026-10-02</t>
        </is>
      </c>
      <c r="C4" s="8" t="inlineStr">
        <is>
          <t>catering</t>
        </is>
      </c>
      <c r="D4" s="8" t="inlineStr">
        <is>
          <t>Catering</t>
        </is>
      </c>
      <c r="E4" s="8" t="inlineStr">
        <is>
          <t>Offsite lunch catering for 120 people on 2 Oct</t>
        </is>
      </c>
      <c r="F4" s="8" t="inlineStr">
        <is>
          <t>Offsite lunch catering for 120 people on 2 Oct</t>
        </is>
      </c>
      <c r="G4" s="8" t="inlineStr">
        <is>
          <t>Bengaluru Feast Co.</t>
        </is>
      </c>
      <c r="H4" s="8" t="inlineStr">
        <is>
          <t>Bengaluru</t>
        </is>
      </c>
      <c r="I4" s="8" t="inlineStr">
        <is>
          <t>Karnataka</t>
        </is>
      </c>
      <c r="J4" s="8" t="inlineStr">
        <is>
          <t>Neha Gupta</t>
        </is>
      </c>
      <c r="K4" s="8" t="inlineStr">
        <is>
          <t>people</t>
        </is>
      </c>
      <c r="L4" s="12" t="inlineStr">
        <is>
          <t>corporate</t>
        </is>
      </c>
      <c r="M4" s="8" t="inlineStr">
        <is>
          <t>morale</t>
        </is>
      </c>
      <c r="N4" s="12" t="inlineStr">
        <is>
          <t>No</t>
        </is>
      </c>
      <c r="O4" s="12" t="n">
        <v>120</v>
      </c>
      <c r="P4" s="11" t="n">
        <v>168000</v>
      </c>
      <c r="Q4" s="13">
        <f>IF(O4&gt;0,P4/O4,0)</f>
        <v/>
      </c>
      <c r="R4" s="13">
        <f>IFERROR(INDEX(Policy!$B$12:$B$18,MATCH(C4,Policy!$A$12:$A$18,0)),0)</f>
        <v/>
      </c>
      <c r="S4" s="8">
        <f>IF(AND(L4="corporate",Q4&gt;R4),"Yes","No")</f>
        <v/>
      </c>
      <c r="T4" s="8">
        <f>IF(L4&lt;&gt;"corporate","None (not company money)",IF(AND(P4&lt;=Policy!$B$5,S4="No"),"Auto-approved","Manager"&amp;IF(OR(P4&gt;Policy!$B$6,S4="Yes")," → Dept head","")&amp;IF(AND(N4="Yes",OR(C4=Policy!$A$21,C4=Policy!$A$22))," → Compliance","")&amp;IF(P4&gt;Policy!$B$7," → Finance","")))</f>
        <v/>
      </c>
      <c r="U4" s="8" t="inlineStr">
        <is>
          <t>Manager (Vikram Singh: approved)</t>
        </is>
      </c>
      <c r="V4" s="8" t="inlineStr">
        <is>
          <t>confirmed</t>
        </is>
      </c>
      <c r="W4" s="8" t="inlineStr"/>
      <c r="X4" s="8" t="inlineStr"/>
    </row>
    <row r="5">
      <c r="A5" s="8" t="inlineStr">
        <is>
          <t>BK-1004</t>
        </is>
      </c>
      <c r="B5" s="8" t="inlineStr">
        <is>
          <t>2026-11-21</t>
        </is>
      </c>
      <c r="C5" s="8" t="inlineStr">
        <is>
          <t>events</t>
        </is>
      </c>
      <c r="D5" s="8" t="inlineStr">
        <is>
          <t>Events &amp; live</t>
        </is>
      </c>
      <c r="E5" s="8" t="inlineStr">
        <is>
          <t>Corporate box at the T20 night for 10 clients</t>
        </is>
      </c>
      <c r="F5" s="8" t="inlineStr">
        <is>
          <t>T20 Night: Mumbai Chargers vs Capital Kings · 10 × Corporate box (per seat)</t>
        </is>
      </c>
      <c r="G5" s="8" t="inlineStr">
        <is>
          <t>Mumbai Cricket Stadium</t>
        </is>
      </c>
      <c r="H5" s="8" t="inlineStr">
        <is>
          <t>Mumbai</t>
        </is>
      </c>
      <c r="I5" s="8" t="inlineStr">
        <is>
          <t>Maharashtra</t>
        </is>
      </c>
      <c r="J5" s="8" t="inlineStr">
        <is>
          <t>Priya Sharma</t>
        </is>
      </c>
      <c r="K5" s="8" t="inlineStr">
        <is>
          <t>sales</t>
        </is>
      </c>
      <c r="L5" s="12" t="inlineStr">
        <is>
          <t>corporate</t>
        </is>
      </c>
      <c r="M5" s="8" t="inlineStr">
        <is>
          <t>business</t>
        </is>
      </c>
      <c r="N5" s="12" t="inlineStr">
        <is>
          <t>Yes</t>
        </is>
      </c>
      <c r="O5" s="12" t="n">
        <v>10</v>
      </c>
      <c r="P5" s="11" t="n">
        <v>150000</v>
      </c>
      <c r="Q5" s="13">
        <f>IF(O5&gt;0,P5/O5,0)</f>
        <v/>
      </c>
      <c r="R5" s="13">
        <f>IFERROR(INDEX(Policy!$B$12:$B$18,MATCH(C5,Policy!$A$12:$A$18,0)),0)</f>
        <v/>
      </c>
      <c r="S5" s="8">
        <f>IF(AND(L5="corporate",Q5&gt;R5),"Yes","No")</f>
        <v/>
      </c>
      <c r="T5" s="8">
        <f>IF(L5&lt;&gt;"corporate","None (not company money)",IF(AND(P5&lt;=Policy!$B$5,S5="No"),"Auto-approved","Manager"&amp;IF(OR(P5&gt;Policy!$B$6,S5="Yes")," → Dept head","")&amp;IF(AND(N5="Yes",OR(C5=Policy!$A$21,C5=Policy!$A$22))," → Compliance","")&amp;IF(P5&gt;Policy!$B$7," → Finance","")))</f>
        <v/>
      </c>
      <c r="U5" s="8" t="inlineStr">
        <is>
          <t>Manager (Vikram Singh: approved) → Compliance (Meera Joshi: pending)</t>
        </is>
      </c>
      <c r="V5" s="8" t="inlineStr">
        <is>
          <t>pending_approval</t>
        </is>
      </c>
      <c r="W5" s="8" t="inlineStr"/>
      <c r="X5" s="8" t="inlineStr">
        <is>
          <t>10 × Corporate box (per seat)</t>
        </is>
      </c>
    </row>
    <row r="6">
      <c r="A6" s="8" t="inlineStr">
        <is>
          <t>BK-1005</t>
        </is>
      </c>
      <c r="B6" s="8" t="inlineStr">
        <is>
          <t>2026-10-20</t>
        </is>
      </c>
      <c r="C6" s="8" t="inlineStr">
        <is>
          <t>gifting</t>
        </is>
      </c>
      <c r="D6" s="8" t="inlineStr">
        <is>
          <t>Gifting &amp; merch</t>
        </is>
      </c>
      <c r="E6" s="8" t="inlineStr">
        <is>
          <t>Diwali gift hampers for 60 clients on 20 Oct</t>
        </is>
      </c>
      <c r="F6" s="8" t="inlineStr">
        <is>
          <t>Diwali gift hampers for 60 clients on 20 Oct</t>
        </is>
      </c>
      <c r="G6" s="8" t="inlineStr">
        <is>
          <t>Bengaluru Artisan Hampers</t>
        </is>
      </c>
      <c r="H6" s="8" t="inlineStr">
        <is>
          <t>Bengaluru</t>
        </is>
      </c>
      <c r="I6" s="8" t="inlineStr">
        <is>
          <t>Karnataka</t>
        </is>
      </c>
      <c r="J6" s="8" t="inlineStr">
        <is>
          <t>Ananya Iyer</t>
        </is>
      </c>
      <c r="K6" s="8" t="inlineStr">
        <is>
          <t>sales</t>
        </is>
      </c>
      <c r="L6" s="12" t="inlineStr">
        <is>
          <t>corporate</t>
        </is>
      </c>
      <c r="M6" s="8" t="inlineStr">
        <is>
          <t>business</t>
        </is>
      </c>
      <c r="N6" s="12" t="inlineStr">
        <is>
          <t>Yes</t>
        </is>
      </c>
      <c r="O6" s="12" t="n">
        <v>60</v>
      </c>
      <c r="P6" s="11" t="n">
        <v>210000</v>
      </c>
      <c r="Q6" s="13">
        <f>IF(O6&gt;0,P6/O6,0)</f>
        <v/>
      </c>
      <c r="R6" s="13">
        <f>IFERROR(INDEX(Policy!$B$12:$B$18,MATCH(C6,Policy!$A$12:$A$18,0)),0)</f>
        <v/>
      </c>
      <c r="S6" s="8">
        <f>IF(AND(L6="corporate",Q6&gt;R6),"Yes","No")</f>
        <v/>
      </c>
      <c r="T6" s="8">
        <f>IF(L6&lt;&gt;"corporate","None (not company money)",IF(AND(P6&lt;=Policy!$B$5,S6="No"),"Auto-approved","Manager"&amp;IF(OR(P6&gt;Policy!$B$6,S6="Yes")," → Dept head","")&amp;IF(AND(N6="Yes",OR(C6=Policy!$A$21,C6=Policy!$A$22))," → Compliance","")&amp;IF(P6&gt;Policy!$B$7," → Finance","")))</f>
        <v/>
      </c>
      <c r="U6" s="8" t="inlineStr">
        <is>
          <t>Manager (Rahul Mehta: pending) → Department head (Priya Sharma: pending) → Compliance (Meera Joshi: pending)</t>
        </is>
      </c>
      <c r="V6" s="8" t="inlineStr">
        <is>
          <t>pending_approval</t>
        </is>
      </c>
      <c r="W6" s="8" t="inlineStr"/>
      <c r="X6" s="8" t="inlineStr"/>
    </row>
    <row r="7">
      <c r="A7" s="8" t="inlineStr">
        <is>
          <t>BK-1006</t>
        </is>
      </c>
      <c r="B7" s="8" t="inlineStr">
        <is>
          <t>2026-10-24</t>
        </is>
      </c>
      <c r="C7" s="8" t="inlineStr">
        <is>
          <t>experiences</t>
        </is>
      </c>
      <c r="D7" s="8" t="inlineStr">
        <is>
          <t>Experiences</t>
        </is>
      </c>
      <c r="E7" s="8" t="inlineStr">
        <is>
          <t>Team offsite retreat for 12 on 24 Oct</t>
        </is>
      </c>
      <c r="F7" s="8" t="inlineStr">
        <is>
          <t>Team offsite retreat for 12 on 24 Oct</t>
        </is>
      </c>
      <c r="G7" s="8" t="inlineStr">
        <is>
          <t>Coorg coffee-estate retreat</t>
        </is>
      </c>
      <c r="H7" s="8" t="inlineStr">
        <is>
          <t>Bengaluru</t>
        </is>
      </c>
      <c r="I7" s="8" t="inlineStr">
        <is>
          <t>Karnataka</t>
        </is>
      </c>
      <c r="J7" s="8" t="inlineStr">
        <is>
          <t>Kavya Nair</t>
        </is>
      </c>
      <c r="K7" s="8" t="inlineStr">
        <is>
          <t>product</t>
        </is>
      </c>
      <c r="L7" s="12" t="inlineStr">
        <is>
          <t>corporate</t>
        </is>
      </c>
      <c r="M7" s="8" t="inlineStr">
        <is>
          <t>morale</t>
        </is>
      </c>
      <c r="N7" s="12" t="inlineStr">
        <is>
          <t>No</t>
        </is>
      </c>
      <c r="O7" s="12" t="n">
        <v>12</v>
      </c>
      <c r="P7" s="11" t="n">
        <v>264000</v>
      </c>
      <c r="Q7" s="13">
        <f>IF(O7&gt;0,P7/O7,0)</f>
        <v/>
      </c>
      <c r="R7" s="13">
        <f>IFERROR(INDEX(Policy!$B$12:$B$18,MATCH(C7,Policy!$A$12:$A$18,0)),0)</f>
        <v/>
      </c>
      <c r="S7" s="8">
        <f>IF(AND(L7="corporate",Q7&gt;R7),"Yes","No")</f>
        <v/>
      </c>
      <c r="T7" s="8">
        <f>IF(L7&lt;&gt;"corporate","None (not company money)",IF(AND(P7&lt;=Policy!$B$5,S7="No"),"Auto-approved","Manager"&amp;IF(OR(P7&gt;Policy!$B$6,S7="Yes")," → Dept head","")&amp;IF(AND(N7="Yes",OR(C7=Policy!$A$21,C7=Policy!$A$22))," → Compliance","")&amp;IF(P7&gt;Policy!$B$7," → Finance","")))</f>
        <v/>
      </c>
      <c r="U7" s="8" t="inlineStr">
        <is>
          <t>Manager (Vikram Singh: approved)</t>
        </is>
      </c>
      <c r="V7" s="8" t="inlineStr">
        <is>
          <t>confirmed</t>
        </is>
      </c>
      <c r="W7" s="8" t="inlineStr"/>
      <c r="X7" s="8" t="inlineStr"/>
    </row>
    <row r="8">
      <c r="A8" s="8" t="inlineStr">
        <is>
          <t>BK-1007</t>
        </is>
      </c>
      <c r="B8" s="8" t="inlineStr">
        <is>
          <t>2026-09-26</t>
        </is>
      </c>
      <c r="C8" s="8" t="inlineStr">
        <is>
          <t>movies</t>
        </is>
      </c>
      <c r="D8" s="8" t="inlineStr">
        <is>
          <t>Movies</t>
        </is>
      </c>
      <c r="E8" s="8" t="inlineStr">
        <is>
          <t>Team movie night for 8 — Pushpaka Rising IMAX Friday evening</t>
        </is>
      </c>
      <c r="F8" s="8" t="inlineStr">
        <is>
          <t>Pushpaka Rising · IMAX · 8 tickets</t>
        </is>
      </c>
      <c r="G8" s="8" t="inlineStr">
        <is>
          <t>Starlight Multiplex — Hyderabad Central</t>
        </is>
      </c>
      <c r="H8" s="8" t="inlineStr">
        <is>
          <t>Hyderabad</t>
        </is>
      </c>
      <c r="I8" s="8" t="inlineStr">
        <is>
          <t>Telangana</t>
        </is>
      </c>
      <c r="J8" s="8" t="inlineStr">
        <is>
          <t>Arjun Reddy</t>
        </is>
      </c>
      <c r="K8" s="8" t="inlineStr">
        <is>
          <t>product</t>
        </is>
      </c>
      <c r="L8" s="12" t="inlineStr">
        <is>
          <t>corporate</t>
        </is>
      </c>
      <c r="M8" s="8" t="inlineStr">
        <is>
          <t>morale</t>
        </is>
      </c>
      <c r="N8" s="12" t="inlineStr">
        <is>
          <t>No</t>
        </is>
      </c>
      <c r="O8" s="12" t="n">
        <v>8</v>
      </c>
      <c r="P8" s="11" t="n">
        <v>4160</v>
      </c>
      <c r="Q8" s="13">
        <f>IF(O8&gt;0,P8/O8,0)</f>
        <v/>
      </c>
      <c r="R8" s="13">
        <f>IFERROR(INDEX(Policy!$B$12:$B$18,MATCH(C8,Policy!$A$12:$A$18,0)),0)</f>
        <v/>
      </c>
      <c r="S8" s="8">
        <f>IF(AND(L8="corporate",Q8&gt;R8),"Yes","No")</f>
        <v/>
      </c>
      <c r="T8" s="8">
        <f>IF(L8&lt;&gt;"corporate","None (not company money)",IF(AND(P8&lt;=Policy!$B$5,S8="No"),"Auto-approved","Manager"&amp;IF(OR(P8&gt;Policy!$B$6,S8="Yes")," → Dept head","")&amp;IF(AND(N8="Yes",OR(C8=Policy!$A$21,C8=Policy!$A$22))," → Compliance","")&amp;IF(P8&gt;Policy!$B$7," → Finance","")))</f>
        <v/>
      </c>
      <c r="U8" s="8" t="inlineStr">
        <is>
          <t>None</t>
        </is>
      </c>
      <c r="V8" s="8" t="inlineStr">
        <is>
          <t>confirmed</t>
        </is>
      </c>
      <c r="W8" s="8" t="inlineStr"/>
      <c r="X8" s="8" t="inlineStr">
        <is>
          <t>IMAX · H4, H5, H6, H7, H8, H9, H10, H11</t>
        </is>
      </c>
    </row>
    <row r="9">
      <c r="A9" s="8" t="inlineStr">
        <is>
          <t>BK-1008</t>
        </is>
      </c>
      <c r="B9" s="8" t="inlineStr">
        <is>
          <t>2026-09-26</t>
        </is>
      </c>
      <c r="C9" s="8" t="inlineStr">
        <is>
          <t>movies</t>
        </is>
      </c>
      <c r="D9" s="8" t="inlineStr">
        <is>
          <t>Movies</t>
        </is>
      </c>
      <c r="E9" s="8" t="inlineStr">
        <is>
          <t>Kaveri Diaries movie with my family Saturday evening</t>
        </is>
      </c>
      <c r="F9" s="8" t="inlineStr">
        <is>
          <t>Kaveri Diaries · 2D · 3 tickets</t>
        </is>
      </c>
      <c r="G9" s="8" t="inlineStr">
        <is>
          <t>Starlight Multiplex — Bengaluru Central</t>
        </is>
      </c>
      <c r="H9" s="8" t="inlineStr">
        <is>
          <t>Bengaluru</t>
        </is>
      </c>
      <c r="I9" s="8" t="inlineStr">
        <is>
          <t>Karnataka</t>
        </is>
      </c>
      <c r="J9" s="8" t="inlineStr">
        <is>
          <t>Ananya Iyer</t>
        </is>
      </c>
      <c r="K9" s="8" t="inlineStr">
        <is>
          <t>sales</t>
        </is>
      </c>
      <c r="L9" s="12" t="inlineStr">
        <is>
          <t>shared</t>
        </is>
      </c>
      <c r="M9" s="8" t="inlineStr">
        <is>
          <t>personal</t>
        </is>
      </c>
      <c r="N9" s="12" t="inlineStr">
        <is>
          <t>No</t>
        </is>
      </c>
      <c r="O9" s="12" t="n">
        <v>3</v>
      </c>
      <c r="P9" s="11" t="n">
        <v>660</v>
      </c>
      <c r="Q9" s="13">
        <f>IF(O9&gt;0,P9/O9,0)</f>
        <v/>
      </c>
      <c r="R9" s="13">
        <f>IFERROR(INDEX(Policy!$B$12:$B$18,MATCH(C9,Policy!$A$12:$A$18,0)),0)</f>
        <v/>
      </c>
      <c r="S9" s="8">
        <f>IF(AND(L9="corporate",Q9&gt;R9),"Yes","No")</f>
        <v/>
      </c>
      <c r="T9" s="8">
        <f>IF(L9&lt;&gt;"corporate","None (not company money)",IF(AND(P9&lt;=Policy!$B$5,S9="No"),"Auto-approved","Manager"&amp;IF(OR(P9&gt;Policy!$B$6,S9="Yes")," → Dept head","")&amp;IF(AND(N9="Yes",OR(C9=Policy!$A$21,C9=Policy!$A$22))," → Compliance","")&amp;IF(P9&gt;Policy!$B$7," → Finance","")))</f>
        <v/>
      </c>
      <c r="U9" s="8" t="inlineStr">
        <is>
          <t>None</t>
        </is>
      </c>
      <c r="V9" s="8" t="inlineStr">
        <is>
          <t>confirmed</t>
        </is>
      </c>
      <c r="W9" s="8" t="inlineStr">
        <is>
          <t>Iyer family</t>
        </is>
      </c>
      <c r="X9" s="8" t="inlineStr">
        <is>
          <t>2D · G1, G2, G3</t>
        </is>
      </c>
    </row>
    <row r="10">
      <c r="A10" s="8" t="inlineStr">
        <is>
          <t>BK-1009</t>
        </is>
      </c>
      <c r="B10" s="8" t="inlineStr">
        <is>
          <t>2026-10-12</t>
        </is>
      </c>
      <c r="C10" s="8" t="inlineStr">
        <is>
          <t>events</t>
        </is>
      </c>
      <c r="D10" s="8" t="inlineStr">
        <is>
          <t>Events &amp; live</t>
        </is>
      </c>
      <c r="E10" s="8" t="inlineStr">
        <is>
          <t>Stand-up comedy with friends this weekend, split</t>
        </is>
      </c>
      <c r="F10" s="8" t="inlineStr">
        <is>
          <t>Stand-up Saturday · 4 × Regular</t>
        </is>
      </c>
      <c r="G10" s="8" t="inlineStr">
        <is>
          <t>The Laugh Store, Hyderabad</t>
        </is>
      </c>
      <c r="H10" s="8" t="inlineStr">
        <is>
          <t>Hyderabad</t>
        </is>
      </c>
      <c r="I10" s="8" t="inlineStr">
        <is>
          <t>Telangana</t>
        </is>
      </c>
      <c r="J10" s="8" t="inlineStr">
        <is>
          <t>Arjun Reddy</t>
        </is>
      </c>
      <c r="K10" s="8" t="inlineStr">
        <is>
          <t>product</t>
        </is>
      </c>
      <c r="L10" s="12" t="inlineStr">
        <is>
          <t>shared</t>
        </is>
      </c>
      <c r="M10" s="8" t="inlineStr">
        <is>
          <t>personal</t>
        </is>
      </c>
      <c r="N10" s="12" t="inlineStr">
        <is>
          <t>No</t>
        </is>
      </c>
      <c r="O10" s="12" t="n">
        <v>4</v>
      </c>
      <c r="P10" s="11" t="n">
        <v>2000</v>
      </c>
      <c r="Q10" s="13">
        <f>IF(O10&gt;0,P10/O10,0)</f>
        <v/>
      </c>
      <c r="R10" s="13">
        <f>IFERROR(INDEX(Policy!$B$12:$B$18,MATCH(C10,Policy!$A$12:$A$18,0)),0)</f>
        <v/>
      </c>
      <c r="S10" s="8">
        <f>IF(AND(L10="corporate",Q10&gt;R10),"Yes","No")</f>
        <v/>
      </c>
      <c r="T10" s="8">
        <f>IF(L10&lt;&gt;"corporate","None (not company money)",IF(AND(P10&lt;=Policy!$B$5,S10="No"),"Auto-approved","Manager"&amp;IF(OR(P10&gt;Policy!$B$6,S10="Yes")," → Dept head","")&amp;IF(AND(N10="Yes",OR(C10=Policy!$A$21,C10=Policy!$A$22))," → Compliance","")&amp;IF(P10&gt;Policy!$B$7," → Finance","")))</f>
        <v/>
      </c>
      <c r="U10" s="8" t="inlineStr">
        <is>
          <t>None</t>
        </is>
      </c>
      <c r="V10" s="8" t="inlineStr">
        <is>
          <t>confirmed</t>
        </is>
      </c>
      <c r="W10" s="8" t="inlineStr">
        <is>
          <t>Weekend gang</t>
        </is>
      </c>
      <c r="X10" s="8" t="inlineStr">
        <is>
          <t>4 × Regular</t>
        </is>
      </c>
    </row>
    <row r="11">
      <c r="A11" s="8" t="inlineStr">
        <is>
          <t>BK-1010</t>
        </is>
      </c>
      <c r="B11" s="8" t="inlineStr">
        <is>
          <t>2026-09-24</t>
        </is>
      </c>
      <c r="C11" s="8" t="inlineStr">
        <is>
          <t>reservations</t>
        </is>
      </c>
      <c r="D11" s="8" t="inlineStr">
        <is>
          <t>Dining</t>
        </is>
      </c>
      <c r="E11" s="8" t="inlineStr">
        <is>
          <t>Client lunch for 2 tomorrow, I will pay and expense it</t>
        </is>
      </c>
      <c r="F11" s="8" t="inlineStr">
        <is>
          <t>Client lunch for 2 tomorrow, I will pay and expense it</t>
        </is>
      </c>
      <c r="G11" s="8" t="inlineStr">
        <is>
          <t>Bengaluru Supper Club</t>
        </is>
      </c>
      <c r="H11" s="8" t="inlineStr">
        <is>
          <t>Bengaluru</t>
        </is>
      </c>
      <c r="I11" s="8" t="inlineStr">
        <is>
          <t>Karnataka</t>
        </is>
      </c>
      <c r="J11" s="8" t="inlineStr">
        <is>
          <t>Ananya Iyer</t>
        </is>
      </c>
      <c r="K11" s="8" t="inlineStr">
        <is>
          <t>sales</t>
        </is>
      </c>
      <c r="L11" s="12" t="inlineStr">
        <is>
          <t>reimbursable</t>
        </is>
      </c>
      <c r="M11" s="8" t="inlineStr">
        <is>
          <t>business</t>
        </is>
      </c>
      <c r="N11" s="12" t="inlineStr">
        <is>
          <t>Yes</t>
        </is>
      </c>
      <c r="O11" s="12" t="n">
        <v>2</v>
      </c>
      <c r="P11" s="11" t="n">
        <v>7000</v>
      </c>
      <c r="Q11" s="13">
        <f>IF(O11&gt;0,P11/O11,0)</f>
        <v/>
      </c>
      <c r="R11" s="13">
        <f>IFERROR(INDEX(Policy!$B$12:$B$18,MATCH(C11,Policy!$A$12:$A$18,0)),0)</f>
        <v/>
      </c>
      <c r="S11" s="8">
        <f>IF(AND(L11="corporate",Q11&gt;R11),"Yes","No")</f>
        <v/>
      </c>
      <c r="T11" s="8">
        <f>IF(L11&lt;&gt;"corporate","None (not company money)",IF(AND(P11&lt;=Policy!$B$5,S11="No"),"Auto-approved","Manager"&amp;IF(OR(P11&gt;Policy!$B$6,S11="Yes")," → Dept head","")&amp;IF(AND(N11="Yes",OR(C11=Policy!$A$21,C11=Policy!$A$22))," → Compliance","")&amp;IF(P11&gt;Policy!$B$7," → Finance","")))</f>
        <v/>
      </c>
      <c r="U11" s="8" t="inlineStr">
        <is>
          <t>None</t>
        </is>
      </c>
      <c r="V11" s="8" t="inlineStr">
        <is>
          <t>confirmed</t>
        </is>
      </c>
      <c r="W11" s="8" t="inlineStr"/>
      <c r="X11" s="8" t="inlineStr"/>
    </row>
    <row r="12">
      <c r="A12" s="8" t="inlineStr">
        <is>
          <t>BK-1011</t>
        </is>
      </c>
      <c r="B12" s="8" t="inlineStr">
        <is>
          <t>2026-10-05</t>
        </is>
      </c>
      <c r="C12" s="8" t="inlineStr">
        <is>
          <t>experiences</t>
        </is>
      </c>
      <c r="D12" s="8" t="inlineStr">
        <is>
          <t>Experiences</t>
        </is>
      </c>
      <c r="E12" s="8" t="inlineStr">
        <is>
          <t>Cooking class on my wellbeing allowance, reimburse me, for 1 on 5 Oct</t>
        </is>
      </c>
      <c r="F12" s="8" t="inlineStr">
        <is>
          <t>Cooking class on my wellbeing allowance, reimburse me, for 1 on 5 Oct</t>
        </is>
      </c>
      <c r="G12" s="8" t="inlineStr">
        <is>
          <t>Hyderabad Cooking Studio</t>
        </is>
      </c>
      <c r="H12" s="8" t="inlineStr">
        <is>
          <t>Hyderabad</t>
        </is>
      </c>
      <c r="I12" s="8" t="inlineStr">
        <is>
          <t>Telangana</t>
        </is>
      </c>
      <c r="J12" s="8" t="inlineStr">
        <is>
          <t>Arjun Reddy</t>
        </is>
      </c>
      <c r="K12" s="8" t="inlineStr">
        <is>
          <t>product</t>
        </is>
      </c>
      <c r="L12" s="12" t="inlineStr">
        <is>
          <t>reimbursable</t>
        </is>
      </c>
      <c r="M12" s="8" t="inlineStr">
        <is>
          <t>wellbeing</t>
        </is>
      </c>
      <c r="N12" s="12" t="inlineStr">
        <is>
          <t>No</t>
        </is>
      </c>
      <c r="O12" s="12" t="n">
        <v>1</v>
      </c>
      <c r="P12" s="11" t="n">
        <v>3000</v>
      </c>
      <c r="Q12" s="13">
        <f>IF(O12&gt;0,P12/O12,0)</f>
        <v/>
      </c>
      <c r="R12" s="13">
        <f>IFERROR(INDEX(Policy!$B$12:$B$18,MATCH(C12,Policy!$A$12:$A$18,0)),0)</f>
        <v/>
      </c>
      <c r="S12" s="8">
        <f>IF(AND(L12="corporate",Q12&gt;R12),"Yes","No")</f>
        <v/>
      </c>
      <c r="T12" s="8">
        <f>IF(L12&lt;&gt;"corporate","None (not company money)",IF(AND(P12&lt;=Policy!$B$5,S12="No"),"Auto-approved","Manager"&amp;IF(OR(P12&gt;Policy!$B$6,S12="Yes")," → Dept head","")&amp;IF(AND(N12="Yes",OR(C12=Policy!$A$21,C12=Policy!$A$22))," → Compliance","")&amp;IF(P12&gt;Policy!$B$7," → Finance","")))</f>
        <v/>
      </c>
      <c r="U12" s="8" t="inlineStr">
        <is>
          <t>None</t>
        </is>
      </c>
      <c r="V12" s="8" t="inlineStr">
        <is>
          <t>confirmed</t>
        </is>
      </c>
      <c r="W12" s="8" t="inlineStr"/>
      <c r="X12" s="8" t="inlineStr"/>
    </row>
    <row r="14">
      <c r="A14" s="2" t="inlineStr">
        <is>
          <t>Column T applies the Policy sheet. Column U is what the agents recorded; it also skips self-approval (the requester's own step moves to their manager and duplicates are dropped) and adds Finance when a department budget is exceeded.</t>
        </is>
      </c>
    </row>
  </sheetData>
  <conditionalFormatting sqref="S2:S12">
    <cfRule type="cellIs" priority="1" operator="equal" dxfId="0">
      <formula>"Yes"</formula>
    </cfRule>
  </conditionalFormatting>
  <dataValidations count="1">
    <dataValidation sqref="L2:L12" showDropDown="0" showInputMessage="0" showErrorMessage="0" allowBlank="0" type="list">
      <formula1>"corporate,reimbursable,personal,shared"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8" customWidth="1" min="4" max="4"/>
    <col width="20" customWidth="1" min="5" max="5"/>
    <col width="18" customWidth="1" min="6" max="6"/>
    <col width="18" customWidth="1" min="7" max="7"/>
    <col width="12" customWidth="1" min="8" max="8"/>
  </cols>
  <sheetData>
    <row r="1">
      <c r="A1" s="7" t="inlineStr">
        <is>
          <t>Dept key</t>
        </is>
      </c>
      <c r="B1" s="7" t="inlineStr">
        <is>
          <t>Department</t>
        </is>
      </c>
      <c r="C1" s="7" t="inlineStr">
        <is>
          <t>Cost center</t>
        </is>
      </c>
      <c r="D1" s="7" t="inlineStr">
        <is>
          <t>Budget owner</t>
        </is>
      </c>
      <c r="E1" s="7" t="inlineStr">
        <is>
          <t>Quarterly budget (₹)</t>
        </is>
      </c>
      <c r="F1" s="7" t="inlineStr">
        <is>
          <t>Committed (₹)</t>
        </is>
      </c>
      <c r="G1" s="7" t="inlineStr">
        <is>
          <t>Remaining (₹)</t>
        </is>
      </c>
      <c r="H1" s="7" t="inlineStr">
        <is>
          <t>Utilisation</t>
        </is>
      </c>
    </row>
    <row r="2">
      <c r="A2" s="8" t="inlineStr">
        <is>
          <t>sales</t>
        </is>
      </c>
      <c r="B2" s="8" t="inlineStr">
        <is>
          <t>Sales</t>
        </is>
      </c>
      <c r="C2" s="8" t="inlineStr">
        <is>
          <t>CC-4100</t>
        </is>
      </c>
      <c r="D2" s="8" t="inlineStr">
        <is>
          <t>Priya Sharma</t>
        </is>
      </c>
      <c r="E2" s="9" t="n">
        <v>6000000</v>
      </c>
      <c r="F2" s="13">
        <f>SUMIFS(Bookings!$P$2:$P$12,Bookings!$K$2:$K$12,A2,Bookings!$L$2:$L$12,"corporate",Bookings!$V$2:$V$12,"pending_approval") + SUMIFS(Bookings!$P$2:$P$12,Bookings!$K$2:$K$12,A2,Bookings!$L$2:$L$12,"corporate",Bookings!$V$2:$V$12,"approved") + SUMIFS(Bookings!$P$2:$P$12,Bookings!$K$2:$K$12,A2,Bookings!$L$2:$L$12,"corporate",Bookings!$V$2:$V$12,"confirmed")</f>
        <v/>
      </c>
      <c r="G2" s="13">
        <f>E2-F2</f>
        <v/>
      </c>
      <c r="H2" s="14">
        <f>IF(E2&gt;0,F2/E2,0)</f>
        <v/>
      </c>
    </row>
    <row r="3">
      <c r="A3" s="8" t="inlineStr">
        <is>
          <t>product</t>
        </is>
      </c>
      <c r="B3" s="8" t="inlineStr">
        <is>
          <t>Product</t>
        </is>
      </c>
      <c r="C3" s="8" t="inlineStr">
        <is>
          <t>CC-5200</t>
        </is>
      </c>
      <c r="D3" s="8" t="inlineStr">
        <is>
          <t>Kavya Nair</t>
        </is>
      </c>
      <c r="E3" s="9" t="n">
        <v>2000000</v>
      </c>
      <c r="F3" s="13">
        <f>SUMIFS(Bookings!$P$2:$P$12,Bookings!$K$2:$K$12,A3,Bookings!$L$2:$L$12,"corporate",Bookings!$V$2:$V$12,"pending_approval") + SUMIFS(Bookings!$P$2:$P$12,Bookings!$K$2:$K$12,A3,Bookings!$L$2:$L$12,"corporate",Bookings!$V$2:$V$12,"approved") + SUMIFS(Bookings!$P$2:$P$12,Bookings!$K$2:$K$12,A3,Bookings!$L$2:$L$12,"corporate",Bookings!$V$2:$V$12,"confirmed")</f>
        <v/>
      </c>
      <c r="G3" s="13">
        <f>E3-F3</f>
        <v/>
      </c>
      <c r="H3" s="14">
        <f>IF(E3&gt;0,F3/E3,0)</f>
        <v/>
      </c>
    </row>
    <row r="4">
      <c r="A4" s="8" t="inlineStr">
        <is>
          <t>people</t>
        </is>
      </c>
      <c r="B4" s="8" t="inlineStr">
        <is>
          <t>People (HR &amp; Benefits)</t>
        </is>
      </c>
      <c r="C4" s="8" t="inlineStr">
        <is>
          <t>CC-7100</t>
        </is>
      </c>
      <c r="D4" s="8" t="inlineStr">
        <is>
          <t>Neha Gupta</t>
        </is>
      </c>
      <c r="E4" s="9" t="n">
        <v>3000000</v>
      </c>
      <c r="F4" s="13">
        <f>SUMIFS(Bookings!$P$2:$P$12,Bookings!$K$2:$K$12,A4,Bookings!$L$2:$L$12,"corporate",Bookings!$V$2:$V$12,"pending_approval") + SUMIFS(Bookings!$P$2:$P$12,Bookings!$K$2:$K$12,A4,Bookings!$L$2:$L$12,"corporate",Bookings!$V$2:$V$12,"approved") + SUMIFS(Bookings!$P$2:$P$12,Bookings!$K$2:$K$12,A4,Bookings!$L$2:$L$12,"corporate",Bookings!$V$2:$V$12,"confirmed")</f>
        <v/>
      </c>
      <c r="G4" s="13">
        <f>E4-F4</f>
        <v/>
      </c>
      <c r="H4" s="14">
        <f>IF(E4&gt;0,F4/E4,0)</f>
        <v/>
      </c>
    </row>
    <row r="5">
      <c r="A5" s="8" t="inlineStr">
        <is>
          <t>finance</t>
        </is>
      </c>
      <c r="B5" s="8" t="inlineStr">
        <is>
          <t>Finance</t>
        </is>
      </c>
      <c r="C5" s="8" t="inlineStr">
        <is>
          <t>CC-9000</t>
        </is>
      </c>
      <c r="D5" s="8" t="inlineStr">
        <is>
          <t>Vikram Singh</t>
        </is>
      </c>
      <c r="E5" s="9" t="n">
        <v>1000000</v>
      </c>
      <c r="F5" s="13">
        <f>SUMIFS(Bookings!$P$2:$P$12,Bookings!$K$2:$K$12,A5,Bookings!$L$2:$L$12,"corporate",Bookings!$V$2:$V$12,"pending_approval") + SUMIFS(Bookings!$P$2:$P$12,Bookings!$K$2:$K$12,A5,Bookings!$L$2:$L$12,"corporate",Bookings!$V$2:$V$12,"approved") + SUMIFS(Bookings!$P$2:$P$12,Bookings!$K$2:$K$12,A5,Bookings!$L$2:$L$12,"corporate",Bookings!$V$2:$V$12,"confirmed")</f>
        <v/>
      </c>
      <c r="G5" s="13">
        <f>E5-F5</f>
        <v/>
      </c>
      <c r="H5" s="14">
        <f>IF(E5&gt;0,F5/E5,0)</f>
        <v/>
      </c>
    </row>
    <row r="6">
      <c r="B6" s="15" t="inlineStr">
        <is>
          <t>Total</t>
        </is>
      </c>
      <c r="E6" s="16">
        <f>SUM(E2:E5)</f>
        <v/>
      </c>
      <c r="F6" s="16">
        <f>SUM(F2:F5)</f>
        <v/>
      </c>
      <c r="G6" s="16">
        <f>SUM(G2:G5)</f>
        <v/>
      </c>
      <c r="H6" s="17">
        <f>IF(E6&gt;0,F6/E6,0)</f>
        <v/>
      </c>
    </row>
    <row r="8">
      <c r="A8" s="2" t="inlineStr">
        <is>
          <t>Committed = company-paid bookings awaiting approval, approved or confirmed (Bookings sheet).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44" customWidth="1" min="4" max="4"/>
    <col width="14" customWidth="1" min="5" max="5"/>
    <col width="13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</cols>
  <sheetData>
    <row r="1">
      <c r="A1" s="7" t="inlineStr">
        <is>
          <t>Expense</t>
        </is>
      </c>
      <c r="B1" s="7" t="inlineStr">
        <is>
          <t>Date</t>
        </is>
      </c>
      <c r="C1" s="7" t="inlineStr">
        <is>
          <t>Group</t>
        </is>
      </c>
      <c r="D1" s="7" t="inlineStr">
        <is>
          <t>Description</t>
        </is>
      </c>
      <c r="E1" s="7" t="inlineStr">
        <is>
          <t>Paid by</t>
        </is>
      </c>
      <c r="F1" s="7" t="inlineStr">
        <is>
          <t>Amount (₹)</t>
        </is>
      </c>
      <c r="G1" s="7" t="inlineStr">
        <is>
          <t>Method</t>
        </is>
      </c>
      <c r="H1" s="7" t="inlineStr">
        <is>
          <t>Ananya Iyer</t>
        </is>
      </c>
      <c r="I1" s="7" t="inlineStr">
        <is>
          <t>Rohan Iyer</t>
        </is>
      </c>
      <c r="J1" s="7" t="inlineStr">
        <is>
          <t>Diya Iyer</t>
        </is>
      </c>
      <c r="K1" s="7" t="inlineStr">
        <is>
          <t>Arjun Reddy</t>
        </is>
      </c>
      <c r="L1" s="7" t="inlineStr">
        <is>
          <t>Sneha Kapoor</t>
        </is>
      </c>
      <c r="M1" s="7" t="inlineStr">
        <is>
          <t>Karthik Rao</t>
        </is>
      </c>
      <c r="N1" s="7" t="inlineStr">
        <is>
          <t>Check</t>
        </is>
      </c>
    </row>
    <row r="2">
      <c r="A2" s="8" t="inlineStr">
        <is>
          <t>EXP-2</t>
        </is>
      </c>
      <c r="B2" s="8" t="inlineStr">
        <is>
          <t>2026-09-26</t>
        </is>
      </c>
      <c r="C2" s="8" t="inlineStr">
        <is>
          <t>Iyer family</t>
        </is>
      </c>
      <c r="D2" s="8" t="inlineStr">
        <is>
          <t>Kaveri Diaries · 2D · 3 tickets</t>
        </is>
      </c>
      <c r="E2" s="8" t="inlineStr">
        <is>
          <t>Ananya Iyer</t>
        </is>
      </c>
      <c r="F2" s="18" t="n">
        <v>660</v>
      </c>
      <c r="G2" s="8" t="inlineStr">
        <is>
          <t>equal</t>
        </is>
      </c>
      <c r="H2" s="18" t="n">
        <v>220</v>
      </c>
      <c r="I2" s="18" t="n">
        <v>220</v>
      </c>
      <c r="J2" s="18" t="n">
        <v>220</v>
      </c>
      <c r="K2" s="18" t="n">
        <v>0</v>
      </c>
      <c r="L2" s="18" t="n">
        <v>0</v>
      </c>
      <c r="M2" s="18" t="n">
        <v>0</v>
      </c>
      <c r="N2" s="8">
        <f>IF(ROUND(SUM(H2:M2)-F2,2)=0,"OK","Mismatch")</f>
        <v/>
      </c>
    </row>
    <row r="3">
      <c r="A3" s="8" t="inlineStr">
        <is>
          <t>EXP-3</t>
        </is>
      </c>
      <c r="B3" s="8" t="inlineStr">
        <is>
          <t>2026-10-12</t>
        </is>
      </c>
      <c r="C3" s="8" t="inlineStr">
        <is>
          <t>Weekend gang</t>
        </is>
      </c>
      <c r="D3" s="8" t="inlineStr">
        <is>
          <t>Stand-up Saturday · 4 × Regular</t>
        </is>
      </c>
      <c r="E3" s="8" t="inlineStr">
        <is>
          <t>Arjun Reddy</t>
        </is>
      </c>
      <c r="F3" s="18" t="n">
        <v>2000</v>
      </c>
      <c r="G3" s="8" t="inlineStr">
        <is>
          <t>equal</t>
        </is>
      </c>
      <c r="H3" s="18" t="n">
        <v>500</v>
      </c>
      <c r="I3" s="18" t="n">
        <v>0</v>
      </c>
      <c r="J3" s="18" t="n">
        <v>0</v>
      </c>
      <c r="K3" s="18" t="n">
        <v>500</v>
      </c>
      <c r="L3" s="18" t="n">
        <v>500</v>
      </c>
      <c r="M3" s="18" t="n">
        <v>500</v>
      </c>
      <c r="N3" s="8">
        <f>IF(ROUND(SUM(H3:M3)-F3,2)=0,"OK","Mismatch")</f>
        <v/>
      </c>
    </row>
    <row r="4">
      <c r="A4" s="8" t="inlineStr">
        <is>
          <t>EXP-4</t>
        </is>
      </c>
      <c r="B4" s="8" t="inlineStr">
        <is>
          <t>2026-09-23</t>
        </is>
      </c>
      <c r="C4" s="8" t="inlineStr">
        <is>
          <t>Weekend gang</t>
        </is>
      </c>
      <c r="D4" s="8" t="inlineStr">
        <is>
          <t>Cabs to the venue</t>
        </is>
      </c>
      <c r="E4" s="8" t="inlineStr">
        <is>
          <t>Sneha Kapoor</t>
        </is>
      </c>
      <c r="F4" s="18" t="n">
        <v>640</v>
      </c>
      <c r="G4" s="8" t="inlineStr">
        <is>
          <t>equal</t>
        </is>
      </c>
      <c r="H4" s="18" t="n">
        <v>160</v>
      </c>
      <c r="I4" s="18" t="n">
        <v>0</v>
      </c>
      <c r="J4" s="18" t="n">
        <v>0</v>
      </c>
      <c r="K4" s="18" t="n">
        <v>160</v>
      </c>
      <c r="L4" s="18" t="n">
        <v>160</v>
      </c>
      <c r="M4" s="18" t="n">
        <v>160</v>
      </c>
      <c r="N4" s="8">
        <f>IF(ROUND(SUM(H4:M4)-F4,2)=0,"OK","Mismatch")</f>
        <v/>
      </c>
    </row>
    <row r="5">
      <c r="A5" s="8" t="inlineStr">
        <is>
          <t>EXP-5</t>
        </is>
      </c>
      <c r="B5" s="8" t="inlineStr">
        <is>
          <t>2026-09-23</t>
        </is>
      </c>
      <c r="C5" s="8" t="inlineStr">
        <is>
          <t>Iyer family</t>
        </is>
      </c>
      <c r="D5" s="8" t="inlineStr">
        <is>
          <t>Groceries for the Onam sadya</t>
        </is>
      </c>
      <c r="E5" s="8" t="inlineStr">
        <is>
          <t>Rohan Iyer</t>
        </is>
      </c>
      <c r="F5" s="18" t="n">
        <v>4800</v>
      </c>
      <c r="G5" s="8" t="inlineStr">
        <is>
          <t>shares</t>
        </is>
      </c>
      <c r="H5" s="18" t="n">
        <v>1200</v>
      </c>
      <c r="I5" s="18" t="n">
        <v>1200</v>
      </c>
      <c r="J5" s="18" t="n">
        <v>2400</v>
      </c>
      <c r="K5" s="18" t="n">
        <v>0</v>
      </c>
      <c r="L5" s="18" t="n">
        <v>0</v>
      </c>
      <c r="M5" s="18" t="n">
        <v>0</v>
      </c>
      <c r="N5" s="8">
        <f>IF(ROUND(SUM(H5:M5)-F5,2)=0,"OK","Mismatch")</f>
        <v/>
      </c>
    </row>
    <row r="7">
      <c r="A7" s="2" t="inlineStr">
        <is>
          <t>Shares are computed by the Split agent in whole paise, so each row adds up exactly (Check column).</t>
        </is>
      </c>
    </row>
    <row r="9">
      <c r="A9" s="3" t="inlineStr">
        <is>
          <t>Settlements (UPI payments recorded)</t>
        </is>
      </c>
    </row>
    <row r="10">
      <c r="A10" s="10" t="inlineStr">
        <is>
          <t>Settlement</t>
        </is>
      </c>
      <c r="B10" s="10" t="inlineStr">
        <is>
          <t>Group</t>
        </is>
      </c>
      <c r="C10" s="10" t="inlineStr">
        <is>
          <t>From</t>
        </is>
      </c>
      <c r="D10" s="10" t="inlineStr">
        <is>
          <t>To</t>
        </is>
      </c>
      <c r="E10" s="10" t="inlineStr">
        <is>
          <t>Amount (₹)</t>
        </is>
      </c>
    </row>
    <row r="11">
      <c r="A11" s="8" t="inlineStr">
        <is>
          <t>SET-2</t>
        </is>
      </c>
      <c r="B11" s="8" t="inlineStr">
        <is>
          <t>Weekend gang</t>
        </is>
      </c>
      <c r="C11" s="8" t="inlineStr">
        <is>
          <t>Karthik Rao</t>
        </is>
      </c>
      <c r="D11" s="8" t="inlineStr">
        <is>
          <t>Arjun Reddy</t>
        </is>
      </c>
      <c r="E11" s="18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20" customWidth="1" min="5" max="5"/>
    <col width="22" customWidth="1" min="6" max="6"/>
    <col width="16" customWidth="1" min="7" max="7"/>
    <col width="14" customWidth="1" min="8" max="8"/>
  </cols>
  <sheetData>
    <row r="1">
      <c r="A1" s="7" t="inlineStr">
        <is>
          <t>Group</t>
        </is>
      </c>
      <c r="B1" s="7" t="inlineStr">
        <is>
          <t>Member</t>
        </is>
      </c>
      <c r="C1" s="7" t="inlineStr">
        <is>
          <t>Paid (₹)</t>
        </is>
      </c>
      <c r="D1" s="7" t="inlineStr">
        <is>
          <t>Share (₹)</t>
        </is>
      </c>
      <c r="E1" s="7" t="inlineStr">
        <is>
          <t>Settlements sent (₹)</t>
        </is>
      </c>
      <c r="F1" s="7" t="inlineStr">
        <is>
          <t>Settlements received (₹)</t>
        </is>
      </c>
      <c r="G1" s="7" t="inlineStr">
        <is>
          <t>Net balance (₹)</t>
        </is>
      </c>
      <c r="H1" s="7" t="inlineStr">
        <is>
          <t>Position</t>
        </is>
      </c>
    </row>
    <row r="2">
      <c r="A2" s="8" t="inlineStr">
        <is>
          <t>Iyer family</t>
        </is>
      </c>
      <c r="B2" s="8" t="inlineStr">
        <is>
          <t>Ananya Iyer</t>
        </is>
      </c>
      <c r="C2" s="19">
        <f>SUMIFS('Group Ledger'!$F$2:$F$5,'Group Ledger'!$C$2:$C$5,A2,'Group Ledger'!$E$2:$E$5,B2)</f>
        <v/>
      </c>
      <c r="D2" s="19">
        <f>SUMIFS('Group Ledger'!$H$2:$H$5,'Group Ledger'!$C$2:$C$5,A2)</f>
        <v/>
      </c>
      <c r="E2" s="19">
        <f>SUMIFS('Group Ledger'!$E$11:$E$11,'Group Ledger'!$B$11:$B$11,A2,'Group Ledger'!$C$11:$C$11,B2)</f>
        <v/>
      </c>
      <c r="F2" s="19">
        <f>SUMIFS('Group Ledger'!$E$11:$E$11,'Group Ledger'!$B$11:$B$11,A2,'Group Ledger'!$D$11:$D$11,B2)</f>
        <v/>
      </c>
      <c r="G2" s="19">
        <f>C2-D2+E2-F2</f>
        <v/>
      </c>
      <c r="H2" s="8">
        <f>IF(ROUND(G2,2)&gt;0,"gets back",IF(ROUND(G2,2)&lt;0,"owes","settled"))</f>
        <v/>
      </c>
    </row>
    <row r="3">
      <c r="A3" s="8" t="inlineStr">
        <is>
          <t>Iyer family</t>
        </is>
      </c>
      <c r="B3" s="8" t="inlineStr">
        <is>
          <t>Rohan Iyer</t>
        </is>
      </c>
      <c r="C3" s="19">
        <f>SUMIFS('Group Ledger'!$F$2:$F$5,'Group Ledger'!$C$2:$C$5,A3,'Group Ledger'!$E$2:$E$5,B3)</f>
        <v/>
      </c>
      <c r="D3" s="19">
        <f>SUMIFS('Group Ledger'!$I$2:$I$5,'Group Ledger'!$C$2:$C$5,A3)</f>
        <v/>
      </c>
      <c r="E3" s="19">
        <f>SUMIFS('Group Ledger'!$E$11:$E$11,'Group Ledger'!$B$11:$B$11,A3,'Group Ledger'!$C$11:$C$11,B3)</f>
        <v/>
      </c>
      <c r="F3" s="19">
        <f>SUMIFS('Group Ledger'!$E$11:$E$11,'Group Ledger'!$B$11:$B$11,A3,'Group Ledger'!$D$11:$D$11,B3)</f>
        <v/>
      </c>
      <c r="G3" s="19">
        <f>C3-D3+E3-F3</f>
        <v/>
      </c>
      <c r="H3" s="8">
        <f>IF(ROUND(G3,2)&gt;0,"gets back",IF(ROUND(G3,2)&lt;0,"owes","settled"))</f>
        <v/>
      </c>
    </row>
    <row r="4">
      <c r="A4" s="8" t="inlineStr">
        <is>
          <t>Iyer family</t>
        </is>
      </c>
      <c r="B4" s="8" t="inlineStr">
        <is>
          <t>Diya Iyer</t>
        </is>
      </c>
      <c r="C4" s="19">
        <f>SUMIFS('Group Ledger'!$F$2:$F$5,'Group Ledger'!$C$2:$C$5,A4,'Group Ledger'!$E$2:$E$5,B4)</f>
        <v/>
      </c>
      <c r="D4" s="19">
        <f>SUMIFS('Group Ledger'!$J$2:$J$5,'Group Ledger'!$C$2:$C$5,A4)</f>
        <v/>
      </c>
      <c r="E4" s="19">
        <f>SUMIFS('Group Ledger'!$E$11:$E$11,'Group Ledger'!$B$11:$B$11,A4,'Group Ledger'!$C$11:$C$11,B4)</f>
        <v/>
      </c>
      <c r="F4" s="19">
        <f>SUMIFS('Group Ledger'!$E$11:$E$11,'Group Ledger'!$B$11:$B$11,A4,'Group Ledger'!$D$11:$D$11,B4)</f>
        <v/>
      </c>
      <c r="G4" s="19">
        <f>C4-D4+E4-F4</f>
        <v/>
      </c>
      <c r="H4" s="8">
        <f>IF(ROUND(G4,2)&gt;0,"gets back",IF(ROUND(G4,2)&lt;0,"owes","settled"))</f>
        <v/>
      </c>
    </row>
    <row r="5">
      <c r="A5" s="8" t="inlineStr">
        <is>
          <t>Weekend gang</t>
        </is>
      </c>
      <c r="B5" s="8" t="inlineStr">
        <is>
          <t>Ananya Iyer</t>
        </is>
      </c>
      <c r="C5" s="19">
        <f>SUMIFS('Group Ledger'!$F$2:$F$5,'Group Ledger'!$C$2:$C$5,A5,'Group Ledger'!$E$2:$E$5,B5)</f>
        <v/>
      </c>
      <c r="D5" s="19">
        <f>SUMIFS('Group Ledger'!$H$2:$H$5,'Group Ledger'!$C$2:$C$5,A5)</f>
        <v/>
      </c>
      <c r="E5" s="19">
        <f>SUMIFS('Group Ledger'!$E$11:$E$11,'Group Ledger'!$B$11:$B$11,A5,'Group Ledger'!$C$11:$C$11,B5)</f>
        <v/>
      </c>
      <c r="F5" s="19">
        <f>SUMIFS('Group Ledger'!$E$11:$E$11,'Group Ledger'!$B$11:$B$11,A5,'Group Ledger'!$D$11:$D$11,B5)</f>
        <v/>
      </c>
      <c r="G5" s="19">
        <f>C5-D5+E5-F5</f>
        <v/>
      </c>
      <c r="H5" s="8">
        <f>IF(ROUND(G5,2)&gt;0,"gets back",IF(ROUND(G5,2)&lt;0,"owes","settled"))</f>
        <v/>
      </c>
    </row>
    <row r="6">
      <c r="A6" s="8" t="inlineStr">
        <is>
          <t>Weekend gang</t>
        </is>
      </c>
      <c r="B6" s="8" t="inlineStr">
        <is>
          <t>Arjun Reddy</t>
        </is>
      </c>
      <c r="C6" s="19">
        <f>SUMIFS('Group Ledger'!$F$2:$F$5,'Group Ledger'!$C$2:$C$5,A6,'Group Ledger'!$E$2:$E$5,B6)</f>
        <v/>
      </c>
      <c r="D6" s="19">
        <f>SUMIFS('Group Ledger'!$K$2:$K$5,'Group Ledger'!$C$2:$C$5,A6)</f>
        <v/>
      </c>
      <c r="E6" s="19">
        <f>SUMIFS('Group Ledger'!$E$11:$E$11,'Group Ledger'!$B$11:$B$11,A6,'Group Ledger'!$C$11:$C$11,B6)</f>
        <v/>
      </c>
      <c r="F6" s="19">
        <f>SUMIFS('Group Ledger'!$E$11:$E$11,'Group Ledger'!$B$11:$B$11,A6,'Group Ledger'!$D$11:$D$11,B6)</f>
        <v/>
      </c>
      <c r="G6" s="19">
        <f>C6-D6+E6-F6</f>
        <v/>
      </c>
      <c r="H6" s="8">
        <f>IF(ROUND(G6,2)&gt;0,"gets back",IF(ROUND(G6,2)&lt;0,"owes","settled"))</f>
        <v/>
      </c>
    </row>
    <row r="7">
      <c r="A7" s="8" t="inlineStr">
        <is>
          <t>Weekend gang</t>
        </is>
      </c>
      <c r="B7" s="8" t="inlineStr">
        <is>
          <t>Sneha Kapoor</t>
        </is>
      </c>
      <c r="C7" s="19">
        <f>SUMIFS('Group Ledger'!$F$2:$F$5,'Group Ledger'!$C$2:$C$5,A7,'Group Ledger'!$E$2:$E$5,B7)</f>
        <v/>
      </c>
      <c r="D7" s="19">
        <f>SUMIFS('Group Ledger'!$L$2:$L$5,'Group Ledger'!$C$2:$C$5,A7)</f>
        <v/>
      </c>
      <c r="E7" s="19">
        <f>SUMIFS('Group Ledger'!$E$11:$E$11,'Group Ledger'!$B$11:$B$11,A7,'Group Ledger'!$C$11:$C$11,B7)</f>
        <v/>
      </c>
      <c r="F7" s="19">
        <f>SUMIFS('Group Ledger'!$E$11:$E$11,'Group Ledger'!$B$11:$B$11,A7,'Group Ledger'!$D$11:$D$11,B7)</f>
        <v/>
      </c>
      <c r="G7" s="19">
        <f>C7-D7+E7-F7</f>
        <v/>
      </c>
      <c r="H7" s="8">
        <f>IF(ROUND(G7,2)&gt;0,"gets back",IF(ROUND(G7,2)&lt;0,"owes","settled"))</f>
        <v/>
      </c>
    </row>
    <row r="8">
      <c r="A8" s="8" t="inlineStr">
        <is>
          <t>Weekend gang</t>
        </is>
      </c>
      <c r="B8" s="8" t="inlineStr">
        <is>
          <t>Karthik Rao</t>
        </is>
      </c>
      <c r="C8" s="19">
        <f>SUMIFS('Group Ledger'!$F$2:$F$5,'Group Ledger'!$C$2:$C$5,A8,'Group Ledger'!$E$2:$E$5,B8)</f>
        <v/>
      </c>
      <c r="D8" s="19">
        <f>SUMIFS('Group Ledger'!$M$2:$M$5,'Group Ledger'!$C$2:$C$5,A8)</f>
        <v/>
      </c>
      <c r="E8" s="19">
        <f>SUMIFS('Group Ledger'!$E$11:$E$11,'Group Ledger'!$B$11:$B$11,A8,'Group Ledger'!$C$11:$C$11,B8)</f>
        <v/>
      </c>
      <c r="F8" s="19">
        <f>SUMIFS('Group Ledger'!$E$11:$E$11,'Group Ledger'!$B$11:$B$11,A8,'Group Ledger'!$D$11:$D$11,B8)</f>
        <v/>
      </c>
      <c r="G8" s="19">
        <f>C8-D8+E8-F8</f>
        <v/>
      </c>
      <c r="H8" s="8">
        <f>IF(ROUND(G8,2)&gt;0,"gets back",IF(ROUND(G8,2)&lt;0,"owes","settled"))</f>
        <v/>
      </c>
    </row>
    <row r="10">
      <c r="A10" s="2" t="inlineStr">
        <is>
          <t>Positive: is owed money. Negative: owes money. Each group sums to zero.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7" customWidth="1" min="4" max="4"/>
    <col width="17" customWidth="1" min="5" max="5"/>
    <col width="14" customWidth="1" min="6" max="6"/>
    <col width="19" customWidth="1" min="7" max="7"/>
    <col width="19" customWidth="1" min="8" max="8"/>
    <col width="17" customWidth="1" min="9" max="9"/>
    <col width="18" customWidth="1" min="10" max="10"/>
  </cols>
  <sheetData>
    <row r="1">
      <c r="A1" s="7" t="inlineStr">
        <is>
          <t>Person</t>
        </is>
      </c>
      <c r="B1" s="7" t="inlineStr">
        <is>
          <t>Title</t>
        </is>
      </c>
      <c r="C1" s="7" t="inlineStr">
        <is>
          <t>Employee</t>
        </is>
      </c>
      <c r="D1" s="7" t="inlineStr">
        <is>
          <t>Company-paid (₹)</t>
        </is>
      </c>
      <c r="E1" s="7" t="inlineStr">
        <is>
          <t>Reimbursable (₹)</t>
        </is>
      </c>
      <c r="F1" s="7" t="inlineStr">
        <is>
          <t>Personal (₹)</t>
        </is>
      </c>
      <c r="G1" s="7" t="inlineStr">
        <is>
          <t>Paid for groups (₹)</t>
        </is>
      </c>
      <c r="H1" s="7" t="inlineStr">
        <is>
          <t>Own group share (₹)</t>
        </is>
      </c>
      <c r="I1" s="7" t="inlineStr">
        <is>
          <t>Out of pocket (₹)</t>
        </is>
      </c>
      <c r="J1" s="7" t="inlineStr">
        <is>
          <t>Total handled (₹)</t>
        </is>
      </c>
    </row>
    <row r="2">
      <c r="A2" s="8" t="inlineStr">
        <is>
          <t>Ananya Iyer</t>
        </is>
      </c>
      <c r="B2" s="8" t="inlineStr">
        <is>
          <t>Account Executive</t>
        </is>
      </c>
      <c r="C2" s="8" t="inlineStr">
        <is>
          <t>Yes</t>
        </is>
      </c>
      <c r="D2" s="19">
        <f>SUMIFS(Bookings!$P$2:$P$12,Bookings!$J$2:$J$12,$A2,Bookings!$L$2:$L$12,"corporate",Bookings!$V$2:$V$12,"pending_approval") + SUMIFS(Bookings!$P$2:$P$12,Bookings!$J$2:$J$12,$A2,Bookings!$L$2:$L$12,"corporate",Bookings!$V$2:$V$12,"approved") + SUMIFS(Bookings!$P$2:$P$12,Bookings!$J$2:$J$12,$A2,Bookings!$L$2:$L$12,"corporate",Bookings!$V$2:$V$12,"confirmed")</f>
        <v/>
      </c>
      <c r="E2" s="19">
        <f>SUMIFS(Bookings!$P$2:$P$12,Bookings!$J$2:$J$12,$A2,Bookings!$L$2:$L$12,"reimbursable",Bookings!$V$2:$V$12,"pending_approval") + SUMIFS(Bookings!$P$2:$P$12,Bookings!$J$2:$J$12,$A2,Bookings!$L$2:$L$12,"reimbursable",Bookings!$V$2:$V$12,"approved") + SUMIFS(Bookings!$P$2:$P$12,Bookings!$J$2:$J$12,$A2,Bookings!$L$2:$L$12,"reimbursable",Bookings!$V$2:$V$12,"confirmed")</f>
        <v/>
      </c>
      <c r="F2" s="19">
        <f>SUMIFS(Bookings!$P$2:$P$12,Bookings!$J$2:$J$12,$A2,Bookings!$L$2:$L$12,"personal",Bookings!$V$2:$V$12,"pending_approval") + SUMIFS(Bookings!$P$2:$P$12,Bookings!$J$2:$J$12,$A2,Bookings!$L$2:$L$12,"personal",Bookings!$V$2:$V$12,"approved") + SUMIFS(Bookings!$P$2:$P$12,Bookings!$J$2:$J$12,$A2,Bookings!$L$2:$L$12,"personal",Bookings!$V$2:$V$12,"confirmed")</f>
        <v/>
      </c>
      <c r="G2" s="19">
        <f>SUMIFS('Group Ledger'!$F$2:$F$5,'Group Ledger'!$E$2:$E$5,A2)</f>
        <v/>
      </c>
      <c r="H2" s="19">
        <f>SUM('Group Ledger'!H2:H5)</f>
        <v/>
      </c>
      <c r="I2" s="19">
        <f>E2+F2+H2</f>
        <v/>
      </c>
      <c r="J2" s="19">
        <f>D2+E2+F2+G2</f>
        <v/>
      </c>
    </row>
    <row r="3">
      <c r="A3" s="8" t="inlineStr">
        <is>
          <t>Rahul Mehta</t>
        </is>
      </c>
      <c r="B3" s="8" t="inlineStr">
        <is>
          <t>Sales Director</t>
        </is>
      </c>
      <c r="C3" s="8" t="inlineStr">
        <is>
          <t>Yes</t>
        </is>
      </c>
      <c r="D3" s="19">
        <f>SUMIFS(Bookings!$P$2:$P$12,Bookings!$J$2:$J$12,$A3,Bookings!$L$2:$L$12,"corporate",Bookings!$V$2:$V$12,"pending_approval") + SUMIFS(Bookings!$P$2:$P$12,Bookings!$J$2:$J$12,$A3,Bookings!$L$2:$L$12,"corporate",Bookings!$V$2:$V$12,"approved") + SUMIFS(Bookings!$P$2:$P$12,Bookings!$J$2:$J$12,$A3,Bookings!$L$2:$L$12,"corporate",Bookings!$V$2:$V$12,"confirmed")</f>
        <v/>
      </c>
      <c r="E3" s="19">
        <f>SUMIFS(Bookings!$P$2:$P$12,Bookings!$J$2:$J$12,$A3,Bookings!$L$2:$L$12,"reimbursable",Bookings!$V$2:$V$12,"pending_approval") + SUMIFS(Bookings!$P$2:$P$12,Bookings!$J$2:$J$12,$A3,Bookings!$L$2:$L$12,"reimbursable",Bookings!$V$2:$V$12,"approved") + SUMIFS(Bookings!$P$2:$P$12,Bookings!$J$2:$J$12,$A3,Bookings!$L$2:$L$12,"reimbursable",Bookings!$V$2:$V$12,"confirmed")</f>
        <v/>
      </c>
      <c r="F3" s="19">
        <f>SUMIFS(Bookings!$P$2:$P$12,Bookings!$J$2:$J$12,$A3,Bookings!$L$2:$L$12,"personal",Bookings!$V$2:$V$12,"pending_approval") + SUMIFS(Bookings!$P$2:$P$12,Bookings!$J$2:$J$12,$A3,Bookings!$L$2:$L$12,"personal",Bookings!$V$2:$V$12,"approved") + SUMIFS(Bookings!$P$2:$P$12,Bookings!$J$2:$J$12,$A3,Bookings!$L$2:$L$12,"personal",Bookings!$V$2:$V$12,"confirmed")</f>
        <v/>
      </c>
      <c r="G3" s="19">
        <f>SUMIFS('Group Ledger'!$F$2:$F$5,'Group Ledger'!$E$2:$E$5,A3)</f>
        <v/>
      </c>
      <c r="H3" s="19" t="n">
        <v>0</v>
      </c>
      <c r="I3" s="19">
        <f>E3+F3+H3</f>
        <v/>
      </c>
      <c r="J3" s="19">
        <f>D3+E3+F3+G3</f>
        <v/>
      </c>
    </row>
    <row r="4">
      <c r="A4" s="8" t="inlineStr">
        <is>
          <t>Priya Sharma</t>
        </is>
      </c>
      <c r="B4" s="8" t="inlineStr">
        <is>
          <t>VP Sales (Dept Head)</t>
        </is>
      </c>
      <c r="C4" s="8" t="inlineStr">
        <is>
          <t>Yes</t>
        </is>
      </c>
      <c r="D4" s="19">
        <f>SUMIFS(Bookings!$P$2:$P$12,Bookings!$J$2:$J$12,$A4,Bookings!$L$2:$L$12,"corporate",Bookings!$V$2:$V$12,"pending_approval") + SUMIFS(Bookings!$P$2:$P$12,Bookings!$J$2:$J$12,$A4,Bookings!$L$2:$L$12,"corporate",Bookings!$V$2:$V$12,"approved") + SUMIFS(Bookings!$P$2:$P$12,Bookings!$J$2:$J$12,$A4,Bookings!$L$2:$L$12,"corporate",Bookings!$V$2:$V$12,"confirmed")</f>
        <v/>
      </c>
      <c r="E4" s="19">
        <f>SUMIFS(Bookings!$P$2:$P$12,Bookings!$J$2:$J$12,$A4,Bookings!$L$2:$L$12,"reimbursable",Bookings!$V$2:$V$12,"pending_approval") + SUMIFS(Bookings!$P$2:$P$12,Bookings!$J$2:$J$12,$A4,Bookings!$L$2:$L$12,"reimbursable",Bookings!$V$2:$V$12,"approved") + SUMIFS(Bookings!$P$2:$P$12,Bookings!$J$2:$J$12,$A4,Bookings!$L$2:$L$12,"reimbursable",Bookings!$V$2:$V$12,"confirmed")</f>
        <v/>
      </c>
      <c r="F4" s="19">
        <f>SUMIFS(Bookings!$P$2:$P$12,Bookings!$J$2:$J$12,$A4,Bookings!$L$2:$L$12,"personal",Bookings!$V$2:$V$12,"pending_approval") + SUMIFS(Bookings!$P$2:$P$12,Bookings!$J$2:$J$12,$A4,Bookings!$L$2:$L$12,"personal",Bookings!$V$2:$V$12,"approved") + SUMIFS(Bookings!$P$2:$P$12,Bookings!$J$2:$J$12,$A4,Bookings!$L$2:$L$12,"personal",Bookings!$V$2:$V$12,"confirmed")</f>
        <v/>
      </c>
      <c r="G4" s="19">
        <f>SUMIFS('Group Ledger'!$F$2:$F$5,'Group Ledger'!$E$2:$E$5,A4)</f>
        <v/>
      </c>
      <c r="H4" s="19" t="n">
        <v>0</v>
      </c>
      <c r="I4" s="19">
        <f>E4+F4+H4</f>
        <v/>
      </c>
      <c r="J4" s="19">
        <f>D4+E4+F4+G4</f>
        <v/>
      </c>
    </row>
    <row r="5">
      <c r="A5" s="8" t="inlineStr">
        <is>
          <t>Arjun Reddy</t>
        </is>
      </c>
      <c r="B5" s="8" t="inlineStr">
        <is>
          <t>Product Manager</t>
        </is>
      </c>
      <c r="C5" s="8" t="inlineStr">
        <is>
          <t>Yes</t>
        </is>
      </c>
      <c r="D5" s="19">
        <f>SUMIFS(Bookings!$P$2:$P$12,Bookings!$J$2:$J$12,$A5,Bookings!$L$2:$L$12,"corporate",Bookings!$V$2:$V$12,"pending_approval") + SUMIFS(Bookings!$P$2:$P$12,Bookings!$J$2:$J$12,$A5,Bookings!$L$2:$L$12,"corporate",Bookings!$V$2:$V$12,"approved") + SUMIFS(Bookings!$P$2:$P$12,Bookings!$J$2:$J$12,$A5,Bookings!$L$2:$L$12,"corporate",Bookings!$V$2:$V$12,"confirmed")</f>
        <v/>
      </c>
      <c r="E5" s="19">
        <f>SUMIFS(Bookings!$P$2:$P$12,Bookings!$J$2:$J$12,$A5,Bookings!$L$2:$L$12,"reimbursable",Bookings!$V$2:$V$12,"pending_approval") + SUMIFS(Bookings!$P$2:$P$12,Bookings!$J$2:$J$12,$A5,Bookings!$L$2:$L$12,"reimbursable",Bookings!$V$2:$V$12,"approved") + SUMIFS(Bookings!$P$2:$P$12,Bookings!$J$2:$J$12,$A5,Bookings!$L$2:$L$12,"reimbursable",Bookings!$V$2:$V$12,"confirmed")</f>
        <v/>
      </c>
      <c r="F5" s="19">
        <f>SUMIFS(Bookings!$P$2:$P$12,Bookings!$J$2:$J$12,$A5,Bookings!$L$2:$L$12,"personal",Bookings!$V$2:$V$12,"pending_approval") + SUMIFS(Bookings!$P$2:$P$12,Bookings!$J$2:$J$12,$A5,Bookings!$L$2:$L$12,"personal",Bookings!$V$2:$V$12,"approved") + SUMIFS(Bookings!$P$2:$P$12,Bookings!$J$2:$J$12,$A5,Bookings!$L$2:$L$12,"personal",Bookings!$V$2:$V$12,"confirmed")</f>
        <v/>
      </c>
      <c r="G5" s="19">
        <f>SUMIFS('Group Ledger'!$F$2:$F$5,'Group Ledger'!$E$2:$E$5,A5)</f>
        <v/>
      </c>
      <c r="H5" s="19">
        <f>SUM('Group Ledger'!K2:K5)</f>
        <v/>
      </c>
      <c r="I5" s="19">
        <f>E5+F5+H5</f>
        <v/>
      </c>
      <c r="J5" s="19">
        <f>D5+E5+F5+G5</f>
        <v/>
      </c>
    </row>
    <row r="6">
      <c r="A6" s="8" t="inlineStr">
        <is>
          <t>Kavya Nair</t>
        </is>
      </c>
      <c r="B6" s="8" t="inlineStr">
        <is>
          <t>Head of Product (Dept Head)</t>
        </is>
      </c>
      <c r="C6" s="8" t="inlineStr">
        <is>
          <t>Yes</t>
        </is>
      </c>
      <c r="D6" s="19">
        <f>SUMIFS(Bookings!$P$2:$P$12,Bookings!$J$2:$J$12,$A6,Bookings!$L$2:$L$12,"corporate",Bookings!$V$2:$V$12,"pending_approval") + SUMIFS(Bookings!$P$2:$P$12,Bookings!$J$2:$J$12,$A6,Bookings!$L$2:$L$12,"corporate",Bookings!$V$2:$V$12,"approved") + SUMIFS(Bookings!$P$2:$P$12,Bookings!$J$2:$J$12,$A6,Bookings!$L$2:$L$12,"corporate",Bookings!$V$2:$V$12,"confirmed")</f>
        <v/>
      </c>
      <c r="E6" s="19">
        <f>SUMIFS(Bookings!$P$2:$P$12,Bookings!$J$2:$J$12,$A6,Bookings!$L$2:$L$12,"reimbursable",Bookings!$V$2:$V$12,"pending_approval") + SUMIFS(Bookings!$P$2:$P$12,Bookings!$J$2:$J$12,$A6,Bookings!$L$2:$L$12,"reimbursable",Bookings!$V$2:$V$12,"approved") + SUMIFS(Bookings!$P$2:$P$12,Bookings!$J$2:$J$12,$A6,Bookings!$L$2:$L$12,"reimbursable",Bookings!$V$2:$V$12,"confirmed")</f>
        <v/>
      </c>
      <c r="F6" s="19">
        <f>SUMIFS(Bookings!$P$2:$P$12,Bookings!$J$2:$J$12,$A6,Bookings!$L$2:$L$12,"personal",Bookings!$V$2:$V$12,"pending_approval") + SUMIFS(Bookings!$P$2:$P$12,Bookings!$J$2:$J$12,$A6,Bookings!$L$2:$L$12,"personal",Bookings!$V$2:$V$12,"approved") + SUMIFS(Bookings!$P$2:$P$12,Bookings!$J$2:$J$12,$A6,Bookings!$L$2:$L$12,"personal",Bookings!$V$2:$V$12,"confirmed")</f>
        <v/>
      </c>
      <c r="G6" s="19">
        <f>SUMIFS('Group Ledger'!$F$2:$F$5,'Group Ledger'!$E$2:$E$5,A6)</f>
        <v/>
      </c>
      <c r="H6" s="19" t="n">
        <v>0</v>
      </c>
      <c r="I6" s="19">
        <f>E6+F6+H6</f>
        <v/>
      </c>
      <c r="J6" s="19">
        <f>D6+E6+F6+G6</f>
        <v/>
      </c>
    </row>
    <row r="7">
      <c r="A7" s="8" t="inlineStr">
        <is>
          <t>Vikram Singh</t>
        </is>
      </c>
      <c r="B7" s="8" t="inlineStr">
        <is>
          <t>CFO (Finance)</t>
        </is>
      </c>
      <c r="C7" s="8" t="inlineStr">
        <is>
          <t>Yes</t>
        </is>
      </c>
      <c r="D7" s="19">
        <f>SUMIFS(Bookings!$P$2:$P$12,Bookings!$J$2:$J$12,$A7,Bookings!$L$2:$L$12,"corporate",Bookings!$V$2:$V$12,"pending_approval") + SUMIFS(Bookings!$P$2:$P$12,Bookings!$J$2:$J$12,$A7,Bookings!$L$2:$L$12,"corporate",Bookings!$V$2:$V$12,"approved") + SUMIFS(Bookings!$P$2:$P$12,Bookings!$J$2:$J$12,$A7,Bookings!$L$2:$L$12,"corporate",Bookings!$V$2:$V$12,"confirmed")</f>
        <v/>
      </c>
      <c r="E7" s="19">
        <f>SUMIFS(Bookings!$P$2:$P$12,Bookings!$J$2:$J$12,$A7,Bookings!$L$2:$L$12,"reimbursable",Bookings!$V$2:$V$12,"pending_approval") + SUMIFS(Bookings!$P$2:$P$12,Bookings!$J$2:$J$12,$A7,Bookings!$L$2:$L$12,"reimbursable",Bookings!$V$2:$V$12,"approved") + SUMIFS(Bookings!$P$2:$P$12,Bookings!$J$2:$J$12,$A7,Bookings!$L$2:$L$12,"reimbursable",Bookings!$V$2:$V$12,"confirmed")</f>
        <v/>
      </c>
      <c r="F7" s="19">
        <f>SUMIFS(Bookings!$P$2:$P$12,Bookings!$J$2:$J$12,$A7,Bookings!$L$2:$L$12,"personal",Bookings!$V$2:$V$12,"pending_approval") + SUMIFS(Bookings!$P$2:$P$12,Bookings!$J$2:$J$12,$A7,Bookings!$L$2:$L$12,"personal",Bookings!$V$2:$V$12,"approved") + SUMIFS(Bookings!$P$2:$P$12,Bookings!$J$2:$J$12,$A7,Bookings!$L$2:$L$12,"personal",Bookings!$V$2:$V$12,"confirmed")</f>
        <v/>
      </c>
      <c r="G7" s="19">
        <f>SUMIFS('Group Ledger'!$F$2:$F$5,'Group Ledger'!$E$2:$E$5,A7)</f>
        <v/>
      </c>
      <c r="H7" s="19" t="n">
        <v>0</v>
      </c>
      <c r="I7" s="19">
        <f>E7+F7+H7</f>
        <v/>
      </c>
      <c r="J7" s="19">
        <f>D7+E7+F7+G7</f>
        <v/>
      </c>
    </row>
    <row r="8">
      <c r="A8" s="8" t="inlineStr">
        <is>
          <t>Neha Gupta</t>
        </is>
      </c>
      <c r="B8" s="8" t="inlineStr">
        <is>
          <t>HR Business Partner</t>
        </is>
      </c>
      <c r="C8" s="8" t="inlineStr">
        <is>
          <t>Yes</t>
        </is>
      </c>
      <c r="D8" s="19">
        <f>SUMIFS(Bookings!$P$2:$P$12,Bookings!$J$2:$J$12,$A8,Bookings!$L$2:$L$12,"corporate",Bookings!$V$2:$V$12,"pending_approval") + SUMIFS(Bookings!$P$2:$P$12,Bookings!$J$2:$J$12,$A8,Bookings!$L$2:$L$12,"corporate",Bookings!$V$2:$V$12,"approved") + SUMIFS(Bookings!$P$2:$P$12,Bookings!$J$2:$J$12,$A8,Bookings!$L$2:$L$12,"corporate",Bookings!$V$2:$V$12,"confirmed")</f>
        <v/>
      </c>
      <c r="E8" s="19">
        <f>SUMIFS(Bookings!$P$2:$P$12,Bookings!$J$2:$J$12,$A8,Bookings!$L$2:$L$12,"reimbursable",Bookings!$V$2:$V$12,"pending_approval") + SUMIFS(Bookings!$P$2:$P$12,Bookings!$J$2:$J$12,$A8,Bookings!$L$2:$L$12,"reimbursable",Bookings!$V$2:$V$12,"approved") + SUMIFS(Bookings!$P$2:$P$12,Bookings!$J$2:$J$12,$A8,Bookings!$L$2:$L$12,"reimbursable",Bookings!$V$2:$V$12,"confirmed")</f>
        <v/>
      </c>
      <c r="F8" s="19">
        <f>SUMIFS(Bookings!$P$2:$P$12,Bookings!$J$2:$J$12,$A8,Bookings!$L$2:$L$12,"personal",Bookings!$V$2:$V$12,"pending_approval") + SUMIFS(Bookings!$P$2:$P$12,Bookings!$J$2:$J$12,$A8,Bookings!$L$2:$L$12,"personal",Bookings!$V$2:$V$12,"approved") + SUMIFS(Bookings!$P$2:$P$12,Bookings!$J$2:$J$12,$A8,Bookings!$L$2:$L$12,"personal",Bookings!$V$2:$V$12,"confirmed")</f>
        <v/>
      </c>
      <c r="G8" s="19">
        <f>SUMIFS('Group Ledger'!$F$2:$F$5,'Group Ledger'!$E$2:$E$5,A8)</f>
        <v/>
      </c>
      <c r="H8" s="19" t="n">
        <v>0</v>
      </c>
      <c r="I8" s="19">
        <f>E8+F8+H8</f>
        <v/>
      </c>
      <c r="J8" s="19">
        <f>D8+E8+F8+G8</f>
        <v/>
      </c>
    </row>
    <row r="9">
      <c r="A9" s="8" t="inlineStr">
        <is>
          <t>Farhan Qureshi</t>
        </is>
      </c>
      <c r="B9" s="8" t="inlineStr">
        <is>
          <t>Benefits Lead</t>
        </is>
      </c>
      <c r="C9" s="8" t="inlineStr">
        <is>
          <t>Yes</t>
        </is>
      </c>
      <c r="D9" s="19">
        <f>SUMIFS(Bookings!$P$2:$P$12,Bookings!$J$2:$J$12,$A9,Bookings!$L$2:$L$12,"corporate",Bookings!$V$2:$V$12,"pending_approval") + SUMIFS(Bookings!$P$2:$P$12,Bookings!$J$2:$J$12,$A9,Bookings!$L$2:$L$12,"corporate",Bookings!$V$2:$V$12,"approved") + SUMIFS(Bookings!$P$2:$P$12,Bookings!$J$2:$J$12,$A9,Bookings!$L$2:$L$12,"corporate",Bookings!$V$2:$V$12,"confirmed")</f>
        <v/>
      </c>
      <c r="E9" s="19">
        <f>SUMIFS(Bookings!$P$2:$P$12,Bookings!$J$2:$J$12,$A9,Bookings!$L$2:$L$12,"reimbursable",Bookings!$V$2:$V$12,"pending_approval") + SUMIFS(Bookings!$P$2:$P$12,Bookings!$J$2:$J$12,$A9,Bookings!$L$2:$L$12,"reimbursable",Bookings!$V$2:$V$12,"approved") + SUMIFS(Bookings!$P$2:$P$12,Bookings!$J$2:$J$12,$A9,Bookings!$L$2:$L$12,"reimbursable",Bookings!$V$2:$V$12,"confirmed")</f>
        <v/>
      </c>
      <c r="F9" s="19">
        <f>SUMIFS(Bookings!$P$2:$P$12,Bookings!$J$2:$J$12,$A9,Bookings!$L$2:$L$12,"personal",Bookings!$V$2:$V$12,"pending_approval") + SUMIFS(Bookings!$P$2:$P$12,Bookings!$J$2:$J$12,$A9,Bookings!$L$2:$L$12,"personal",Bookings!$V$2:$V$12,"approved") + SUMIFS(Bookings!$P$2:$P$12,Bookings!$J$2:$J$12,$A9,Bookings!$L$2:$L$12,"personal",Bookings!$V$2:$V$12,"confirmed")</f>
        <v/>
      </c>
      <c r="G9" s="19">
        <f>SUMIFS('Group Ledger'!$F$2:$F$5,'Group Ledger'!$E$2:$E$5,A9)</f>
        <v/>
      </c>
      <c r="H9" s="19" t="n">
        <v>0</v>
      </c>
      <c r="I9" s="19">
        <f>E9+F9+H9</f>
        <v/>
      </c>
      <c r="J9" s="19">
        <f>D9+E9+F9+G9</f>
        <v/>
      </c>
    </row>
    <row r="10">
      <c r="A10" s="8" t="inlineStr">
        <is>
          <t>Meera Joshi</t>
        </is>
      </c>
      <c r="B10" s="8" t="inlineStr">
        <is>
          <t>Compliance Officer</t>
        </is>
      </c>
      <c r="C10" s="8" t="inlineStr">
        <is>
          <t>Yes</t>
        </is>
      </c>
      <c r="D10" s="19">
        <f>SUMIFS(Bookings!$P$2:$P$12,Bookings!$J$2:$J$12,$A10,Bookings!$L$2:$L$12,"corporate",Bookings!$V$2:$V$12,"pending_approval") + SUMIFS(Bookings!$P$2:$P$12,Bookings!$J$2:$J$12,$A10,Bookings!$L$2:$L$12,"corporate",Bookings!$V$2:$V$12,"approved") + SUMIFS(Bookings!$P$2:$P$12,Bookings!$J$2:$J$12,$A10,Bookings!$L$2:$L$12,"corporate",Bookings!$V$2:$V$12,"confirmed")</f>
        <v/>
      </c>
      <c r="E10" s="19">
        <f>SUMIFS(Bookings!$P$2:$P$12,Bookings!$J$2:$J$12,$A10,Bookings!$L$2:$L$12,"reimbursable",Bookings!$V$2:$V$12,"pending_approval") + SUMIFS(Bookings!$P$2:$P$12,Bookings!$J$2:$J$12,$A10,Bookings!$L$2:$L$12,"reimbursable",Bookings!$V$2:$V$12,"approved") + SUMIFS(Bookings!$P$2:$P$12,Bookings!$J$2:$J$12,$A10,Bookings!$L$2:$L$12,"reimbursable",Bookings!$V$2:$V$12,"confirmed")</f>
        <v/>
      </c>
      <c r="F10" s="19">
        <f>SUMIFS(Bookings!$P$2:$P$12,Bookings!$J$2:$J$12,$A10,Bookings!$L$2:$L$12,"personal",Bookings!$V$2:$V$12,"pending_approval") + SUMIFS(Bookings!$P$2:$P$12,Bookings!$J$2:$J$12,$A10,Bookings!$L$2:$L$12,"personal",Bookings!$V$2:$V$12,"approved") + SUMIFS(Bookings!$P$2:$P$12,Bookings!$J$2:$J$12,$A10,Bookings!$L$2:$L$12,"personal",Bookings!$V$2:$V$12,"confirmed")</f>
        <v/>
      </c>
      <c r="G10" s="19">
        <f>SUMIFS('Group Ledger'!$F$2:$F$5,'Group Ledger'!$E$2:$E$5,A10)</f>
        <v/>
      </c>
      <c r="H10" s="19" t="n">
        <v>0</v>
      </c>
      <c r="I10" s="19">
        <f>E10+F10+H10</f>
        <v/>
      </c>
      <c r="J10" s="19">
        <f>D10+E10+F10+G10</f>
        <v/>
      </c>
    </row>
    <row r="11">
      <c r="A11" s="8" t="inlineStr">
        <is>
          <t>Rohan Iyer</t>
        </is>
      </c>
      <c r="B11" s="8" t="inlineStr">
        <is>
          <t>Family (Ananya’s husband)</t>
        </is>
      </c>
      <c r="C11" s="8" t="inlineStr">
        <is>
          <t>Guest</t>
        </is>
      </c>
      <c r="D11" s="19">
        <f>SUMIFS(Bookings!$P$2:$P$12,Bookings!$J$2:$J$12,$A11,Bookings!$L$2:$L$12,"corporate",Bookings!$V$2:$V$12,"pending_approval") + SUMIFS(Bookings!$P$2:$P$12,Bookings!$J$2:$J$12,$A11,Bookings!$L$2:$L$12,"corporate",Bookings!$V$2:$V$12,"approved") + SUMIFS(Bookings!$P$2:$P$12,Bookings!$J$2:$J$12,$A11,Bookings!$L$2:$L$12,"corporate",Bookings!$V$2:$V$12,"confirmed")</f>
        <v/>
      </c>
      <c r="E11" s="19">
        <f>SUMIFS(Bookings!$P$2:$P$12,Bookings!$J$2:$J$12,$A11,Bookings!$L$2:$L$12,"reimbursable",Bookings!$V$2:$V$12,"pending_approval") + SUMIFS(Bookings!$P$2:$P$12,Bookings!$J$2:$J$12,$A11,Bookings!$L$2:$L$12,"reimbursable",Bookings!$V$2:$V$12,"approved") + SUMIFS(Bookings!$P$2:$P$12,Bookings!$J$2:$J$12,$A11,Bookings!$L$2:$L$12,"reimbursable",Bookings!$V$2:$V$12,"confirmed")</f>
        <v/>
      </c>
      <c r="F11" s="19">
        <f>SUMIFS(Bookings!$P$2:$P$12,Bookings!$J$2:$J$12,$A11,Bookings!$L$2:$L$12,"personal",Bookings!$V$2:$V$12,"pending_approval") + SUMIFS(Bookings!$P$2:$P$12,Bookings!$J$2:$J$12,$A11,Bookings!$L$2:$L$12,"personal",Bookings!$V$2:$V$12,"approved") + SUMIFS(Bookings!$P$2:$P$12,Bookings!$J$2:$J$12,$A11,Bookings!$L$2:$L$12,"personal",Bookings!$V$2:$V$12,"confirmed")</f>
        <v/>
      </c>
      <c r="G11" s="19">
        <f>SUMIFS('Group Ledger'!$F$2:$F$5,'Group Ledger'!$E$2:$E$5,A11)</f>
        <v/>
      </c>
      <c r="H11" s="19">
        <f>SUM('Group Ledger'!I2:I5)</f>
        <v/>
      </c>
      <c r="I11" s="19">
        <f>E11+F11+H11</f>
        <v/>
      </c>
      <c r="J11" s="19">
        <f>D11+E11+F11+G11</f>
        <v/>
      </c>
    </row>
    <row r="12">
      <c r="A12" s="8" t="inlineStr">
        <is>
          <t>Diya Iyer</t>
        </is>
      </c>
      <c r="B12" s="8" t="inlineStr">
        <is>
          <t>Family (Ananya’s sister)</t>
        </is>
      </c>
      <c r="C12" s="8" t="inlineStr">
        <is>
          <t>Guest</t>
        </is>
      </c>
      <c r="D12" s="19">
        <f>SUMIFS(Bookings!$P$2:$P$12,Bookings!$J$2:$J$12,$A12,Bookings!$L$2:$L$12,"corporate",Bookings!$V$2:$V$12,"pending_approval") + SUMIFS(Bookings!$P$2:$P$12,Bookings!$J$2:$J$12,$A12,Bookings!$L$2:$L$12,"corporate",Bookings!$V$2:$V$12,"approved") + SUMIFS(Bookings!$P$2:$P$12,Bookings!$J$2:$J$12,$A12,Bookings!$L$2:$L$12,"corporate",Bookings!$V$2:$V$12,"confirmed")</f>
        <v/>
      </c>
      <c r="E12" s="19">
        <f>SUMIFS(Bookings!$P$2:$P$12,Bookings!$J$2:$J$12,$A12,Bookings!$L$2:$L$12,"reimbursable",Bookings!$V$2:$V$12,"pending_approval") + SUMIFS(Bookings!$P$2:$P$12,Bookings!$J$2:$J$12,$A12,Bookings!$L$2:$L$12,"reimbursable",Bookings!$V$2:$V$12,"approved") + SUMIFS(Bookings!$P$2:$P$12,Bookings!$J$2:$J$12,$A12,Bookings!$L$2:$L$12,"reimbursable",Bookings!$V$2:$V$12,"confirmed")</f>
        <v/>
      </c>
      <c r="F12" s="19">
        <f>SUMIFS(Bookings!$P$2:$P$12,Bookings!$J$2:$J$12,$A12,Bookings!$L$2:$L$12,"personal",Bookings!$V$2:$V$12,"pending_approval") + SUMIFS(Bookings!$P$2:$P$12,Bookings!$J$2:$J$12,$A12,Bookings!$L$2:$L$12,"personal",Bookings!$V$2:$V$12,"approved") + SUMIFS(Bookings!$P$2:$P$12,Bookings!$J$2:$J$12,$A12,Bookings!$L$2:$L$12,"personal",Bookings!$V$2:$V$12,"confirmed")</f>
        <v/>
      </c>
      <c r="G12" s="19">
        <f>SUMIFS('Group Ledger'!$F$2:$F$5,'Group Ledger'!$E$2:$E$5,A12)</f>
        <v/>
      </c>
      <c r="H12" s="19">
        <f>SUM('Group Ledger'!J2:J5)</f>
        <v/>
      </c>
      <c r="I12" s="19">
        <f>E12+F12+H12</f>
        <v/>
      </c>
      <c r="J12" s="19">
        <f>D12+E12+F12+G12</f>
        <v/>
      </c>
    </row>
    <row r="13">
      <c r="A13" s="8" t="inlineStr">
        <is>
          <t>Sneha Kapoor</t>
        </is>
      </c>
      <c r="B13" s="8" t="inlineStr">
        <is>
          <t>Friend</t>
        </is>
      </c>
      <c r="C13" s="8" t="inlineStr">
        <is>
          <t>Guest</t>
        </is>
      </c>
      <c r="D13" s="19">
        <f>SUMIFS(Bookings!$P$2:$P$12,Bookings!$J$2:$J$12,$A13,Bookings!$L$2:$L$12,"corporate",Bookings!$V$2:$V$12,"pending_approval") + SUMIFS(Bookings!$P$2:$P$12,Bookings!$J$2:$J$12,$A13,Bookings!$L$2:$L$12,"corporate",Bookings!$V$2:$V$12,"approved") + SUMIFS(Bookings!$P$2:$P$12,Bookings!$J$2:$J$12,$A13,Bookings!$L$2:$L$12,"corporate",Bookings!$V$2:$V$12,"confirmed")</f>
        <v/>
      </c>
      <c r="E13" s="19">
        <f>SUMIFS(Bookings!$P$2:$P$12,Bookings!$J$2:$J$12,$A13,Bookings!$L$2:$L$12,"reimbursable",Bookings!$V$2:$V$12,"pending_approval") + SUMIFS(Bookings!$P$2:$P$12,Bookings!$J$2:$J$12,$A13,Bookings!$L$2:$L$12,"reimbursable",Bookings!$V$2:$V$12,"approved") + SUMIFS(Bookings!$P$2:$P$12,Bookings!$J$2:$J$12,$A13,Bookings!$L$2:$L$12,"reimbursable",Bookings!$V$2:$V$12,"confirmed")</f>
        <v/>
      </c>
      <c r="F13" s="19">
        <f>SUMIFS(Bookings!$P$2:$P$12,Bookings!$J$2:$J$12,$A13,Bookings!$L$2:$L$12,"personal",Bookings!$V$2:$V$12,"pending_approval") + SUMIFS(Bookings!$P$2:$P$12,Bookings!$J$2:$J$12,$A13,Bookings!$L$2:$L$12,"personal",Bookings!$V$2:$V$12,"approved") + SUMIFS(Bookings!$P$2:$P$12,Bookings!$J$2:$J$12,$A13,Bookings!$L$2:$L$12,"personal",Bookings!$V$2:$V$12,"confirmed")</f>
        <v/>
      </c>
      <c r="G13" s="19">
        <f>SUMIFS('Group Ledger'!$F$2:$F$5,'Group Ledger'!$E$2:$E$5,A13)</f>
        <v/>
      </c>
      <c r="H13" s="19">
        <f>SUM('Group Ledger'!L2:L5)</f>
        <v/>
      </c>
      <c r="I13" s="19">
        <f>E13+F13+H13</f>
        <v/>
      </c>
      <c r="J13" s="19">
        <f>D13+E13+F13+G13</f>
        <v/>
      </c>
    </row>
    <row r="14">
      <c r="A14" s="8" t="inlineStr">
        <is>
          <t>Karthik Rao</t>
        </is>
      </c>
      <c r="B14" s="8" t="inlineStr">
        <is>
          <t>Friend</t>
        </is>
      </c>
      <c r="C14" s="8" t="inlineStr">
        <is>
          <t>Guest</t>
        </is>
      </c>
      <c r="D14" s="19">
        <f>SUMIFS(Bookings!$P$2:$P$12,Bookings!$J$2:$J$12,$A14,Bookings!$L$2:$L$12,"corporate",Bookings!$V$2:$V$12,"pending_approval") + SUMIFS(Bookings!$P$2:$P$12,Bookings!$J$2:$J$12,$A14,Bookings!$L$2:$L$12,"corporate",Bookings!$V$2:$V$12,"approved") + SUMIFS(Bookings!$P$2:$P$12,Bookings!$J$2:$J$12,$A14,Bookings!$L$2:$L$12,"corporate",Bookings!$V$2:$V$12,"confirmed")</f>
        <v/>
      </c>
      <c r="E14" s="19">
        <f>SUMIFS(Bookings!$P$2:$P$12,Bookings!$J$2:$J$12,$A14,Bookings!$L$2:$L$12,"reimbursable",Bookings!$V$2:$V$12,"pending_approval") + SUMIFS(Bookings!$P$2:$P$12,Bookings!$J$2:$J$12,$A14,Bookings!$L$2:$L$12,"reimbursable",Bookings!$V$2:$V$12,"approved") + SUMIFS(Bookings!$P$2:$P$12,Bookings!$J$2:$J$12,$A14,Bookings!$L$2:$L$12,"reimbursable",Bookings!$V$2:$V$12,"confirmed")</f>
        <v/>
      </c>
      <c r="F14" s="19">
        <f>SUMIFS(Bookings!$P$2:$P$12,Bookings!$J$2:$J$12,$A14,Bookings!$L$2:$L$12,"personal",Bookings!$V$2:$V$12,"pending_approval") + SUMIFS(Bookings!$P$2:$P$12,Bookings!$J$2:$J$12,$A14,Bookings!$L$2:$L$12,"personal",Bookings!$V$2:$V$12,"approved") + SUMIFS(Bookings!$P$2:$P$12,Bookings!$J$2:$J$12,$A14,Bookings!$L$2:$L$12,"personal",Bookings!$V$2:$V$12,"confirmed")</f>
        <v/>
      </c>
      <c r="G14" s="19">
        <f>SUMIFS('Group Ledger'!$F$2:$F$5,'Group Ledger'!$E$2:$E$5,A14)</f>
        <v/>
      </c>
      <c r="H14" s="19">
        <f>SUM('Group Ledger'!M2:M5)</f>
        <v/>
      </c>
      <c r="I14" s="19">
        <f>E14+F14+H14</f>
        <v/>
      </c>
      <c r="J14" s="19">
        <f>D14+E14+F14+G14</f>
        <v/>
      </c>
    </row>
    <row r="15">
      <c r="A15" s="15" t="inlineStr">
        <is>
          <t>Total</t>
        </is>
      </c>
      <c r="D15" s="20">
        <f>SUM(D2:D14)</f>
        <v/>
      </c>
      <c r="E15" s="20">
        <f>SUM(E2:E14)</f>
        <v/>
      </c>
      <c r="F15" s="20">
        <f>SUM(F2:F14)</f>
        <v/>
      </c>
      <c r="G15" s="20">
        <f>SUM(G2:G14)</f>
        <v/>
      </c>
      <c r="H15" s="20">
        <f>SUM(H2:H14)</f>
        <v/>
      </c>
      <c r="I15" s="20">
        <f>SUM(I2:I14)</f>
        <v/>
      </c>
      <c r="J15" s="20">
        <f>SUM(J2:J14)</f>
        <v/>
      </c>
    </row>
    <row r="17">
      <c r="A17" s="2" t="inlineStr">
        <is>
          <t>Only live bookings count (awaiting approval, approved, confirmed). Out of pocket = reimbursable + personal + own share of group spend.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1" customWidth="1" min="4" max="4"/>
    <col width="7" customWidth="1" min="5" max="5"/>
    <col width="18" customWidth="1" min="6" max="6"/>
    <col width="13" customWidth="1" min="7" max="7"/>
    <col width="14" customWidth="1" min="8" max="8"/>
    <col width="48" customWidth="1" min="9" max="9"/>
    <col width="12" customWidth="1" min="10" max="10"/>
    <col width="22" customWidth="1" min="11" max="11"/>
  </cols>
  <sheetData>
    <row r="1">
      <c r="A1" s="7" t="inlineStr">
        <is>
          <t>Report</t>
        </is>
      </c>
      <c r="B1" s="7" t="inlineStr">
        <is>
          <t>Owner</t>
        </is>
      </c>
      <c r="C1" s="7" t="inlineStr">
        <is>
          <t>Type</t>
        </is>
      </c>
      <c r="D1" s="7" t="inlineStr">
        <is>
          <t>Routed to</t>
        </is>
      </c>
      <c r="E1" s="7" t="inlineStr">
        <is>
          <t>Lines</t>
        </is>
      </c>
      <c r="F1" s="7" t="inlineStr">
        <is>
          <t>Bookings</t>
        </is>
      </c>
      <c r="G1" s="7" t="inlineStr">
        <is>
          <t>Total (₹)</t>
        </is>
      </c>
      <c r="H1" s="7" t="inlineStr">
        <is>
          <t>Claimable (₹)</t>
        </is>
      </c>
      <c r="I1" s="7" t="inlineStr">
        <is>
          <t>Approval chain</t>
        </is>
      </c>
      <c r="J1" s="7" t="inlineStr">
        <is>
          <t>Status</t>
        </is>
      </c>
      <c r="K1" s="7" t="inlineStr">
        <is>
          <t>Submitted</t>
        </is>
      </c>
    </row>
    <row r="2">
      <c r="A2" s="8" t="inlineStr">
        <is>
          <t>ER-502</t>
        </is>
      </c>
      <c r="B2" s="8" t="inlineStr">
        <is>
          <t>Arjun Reddy</t>
        </is>
      </c>
      <c r="C2" s="8" t="inlineStr">
        <is>
          <t>Lifestyle &amp; wellbeing allowance</t>
        </is>
      </c>
      <c r="D2" s="8" t="inlineStr">
        <is>
          <t>Benefits</t>
        </is>
      </c>
      <c r="E2" s="8" t="n">
        <v>1</v>
      </c>
      <c r="F2" s="8" t="inlineStr">
        <is>
          <t>BK-1011</t>
        </is>
      </c>
      <c r="G2" s="11" t="n">
        <v>3000</v>
      </c>
      <c r="H2" s="11" t="n">
        <v>3000</v>
      </c>
      <c r="I2" s="8" t="inlineStr">
        <is>
          <t>Benefits team (Farhan Qureshi: approved)</t>
        </is>
      </c>
      <c r="J2" s="8" t="inlineStr">
        <is>
          <t>reimbursed</t>
        </is>
      </c>
      <c r="K2" s="8" t="inlineStr">
        <is>
          <t>2026-09-23T00:00:35.488Z</t>
        </is>
      </c>
    </row>
    <row r="3">
      <c r="A3" s="8" t="inlineStr">
        <is>
          <t>ER-501</t>
        </is>
      </c>
      <c r="B3" s="8" t="inlineStr">
        <is>
          <t>Ananya Iyer</t>
        </is>
      </c>
      <c r="C3" s="8" t="inlineStr">
        <is>
          <t>Business / client entertainment</t>
        </is>
      </c>
      <c r="D3" s="8" t="inlineStr">
        <is>
          <t>Finance</t>
        </is>
      </c>
      <c r="E3" s="8" t="n">
        <v>1</v>
      </c>
      <c r="F3" s="8" t="inlineStr">
        <is>
          <t>BK-1010</t>
        </is>
      </c>
      <c r="G3" s="11" t="n">
        <v>7000</v>
      </c>
      <c r="H3" s="11" t="n">
        <v>7000</v>
      </c>
      <c r="I3" s="8" t="inlineStr">
        <is>
          <t>Manager (Rahul Mehta: approved) → Finance team (Vikram Singh: pending)</t>
        </is>
      </c>
      <c r="J3" s="8" t="inlineStr">
        <is>
          <t>submitted</t>
        </is>
      </c>
      <c r="K3" s="8" t="inlineStr">
        <is>
          <t>2026-09-23T00:00:35.488Z</t>
        </is>
      </c>
    </row>
    <row r="5">
      <c r="A5" s="3" t="inlineStr">
        <is>
          <t>Routing rules</t>
        </is>
      </c>
    </row>
    <row r="6">
      <c r="A6" s="8" t="inlineStr">
        <is>
          <t>Client / business</t>
        </is>
      </c>
      <c r="C6" s="8" t="inlineStr">
        <is>
          <t>Manager → Finance</t>
        </is>
      </c>
    </row>
    <row r="7">
      <c r="A7" s="8" t="inlineStr">
        <is>
          <t>Team morale, celebrations &amp; offsites</t>
        </is>
      </c>
      <c r="C7" s="8" t="inlineStr">
        <is>
          <t>Manager → HR</t>
        </is>
      </c>
    </row>
    <row r="8">
      <c r="A8" s="8" t="inlineStr">
        <is>
          <t>Lifestyle &amp; wellbeing allowance</t>
        </is>
      </c>
      <c r="C8" s="8" t="inlineStr">
        <is>
          <t>Benefits (capped at the allowance balance)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Split calculator</t>
        </is>
      </c>
    </row>
    <row r="2">
      <c r="A2" s="2" t="inlineStr">
        <is>
          <t>Enter the amount and method (yellow). Weights: exact ₹, percent, or share units. 'equal' ignores weights.</t>
        </is>
      </c>
    </row>
    <row r="4">
      <c r="A4" s="15" t="inlineStr">
        <is>
          <t>Amount (₹)</t>
        </is>
      </c>
      <c r="B4" s="21" t="n">
        <v>3000</v>
      </c>
    </row>
    <row r="5">
      <c r="A5" s="15" t="inlineStr">
        <is>
          <t>Method</t>
        </is>
      </c>
      <c r="B5" s="22" t="inlineStr">
        <is>
          <t>shares</t>
        </is>
      </c>
    </row>
    <row r="7">
      <c r="A7" s="7" t="inlineStr">
        <is>
          <t>Member</t>
        </is>
      </c>
      <c r="B7" s="7" t="inlineStr">
        <is>
          <t>Weight (input)</t>
        </is>
      </c>
      <c r="C7" s="7" t="inlineStr">
        <is>
          <t>Share (₹)</t>
        </is>
      </c>
    </row>
    <row r="8">
      <c r="A8" s="12" t="inlineStr">
        <is>
          <t>Ananya</t>
        </is>
      </c>
      <c r="B8" s="12" t="n">
        <v>2</v>
      </c>
      <c r="C8" s="19">
        <f>IF($B$5="equal",IF(COUNTA($A$8:$A$11)&gt;0,$B$4/COUNTA($A$8:$A$11),0),IF($B$5="exact",B8,IF($B$5="percent",$B$4*B8/100,IF(SUM($B$8:$B$11)&gt;0,$B$4*B8/SUM($B$8:$B$11),0))))</f>
        <v/>
      </c>
    </row>
    <row r="9">
      <c r="A9" s="12" t="inlineStr">
        <is>
          <t>Rohan</t>
        </is>
      </c>
      <c r="B9" s="12" t="n">
        <v>1</v>
      </c>
      <c r="C9" s="19">
        <f>IF($B$5="equal",IF(COUNTA($A$8:$A$11)&gt;0,$B$4/COUNTA($A$8:$A$11),0),IF($B$5="exact",B9,IF($B$5="percent",$B$4*B9/100,IF(SUM($B$8:$B$11)&gt;0,$B$4*B9/SUM($B$8:$B$11),0))))</f>
        <v/>
      </c>
    </row>
    <row r="10">
      <c r="A10" s="12" t="inlineStr">
        <is>
          <t>Diya</t>
        </is>
      </c>
      <c r="B10" s="12" t="n">
        <v>1</v>
      </c>
      <c r="C10" s="19">
        <f>IF($B$5="equal",IF(COUNTA($A$8:$A$11)&gt;0,$B$4/COUNTA($A$8:$A$11),0),IF($B$5="exact",B10,IF($B$5="percent",$B$4*B10/100,IF(SUM($B$8:$B$11)&gt;0,$B$4*B10/SUM($B$8:$B$11),0))))</f>
        <v/>
      </c>
    </row>
    <row r="11">
      <c r="A11" s="12" t="inlineStr">
        <is>
          <t>Guest</t>
        </is>
      </c>
      <c r="B11" s="12" t="n">
        <v>0</v>
      </c>
      <c r="C11" s="19">
        <f>IF($B$5="equal",IF(COUNTA($A$8:$A$11)&gt;0,$B$4/COUNTA($A$8:$A$11),0),IF($B$5="exact",B11,IF($B$5="percent",$B$4*B11/100,IF(SUM($B$8:$B$11)&gt;0,$B$4*B11/SUM($B$8:$B$11),0))))</f>
        <v/>
      </c>
    </row>
    <row r="12">
      <c r="A12" s="15" t="inlineStr">
        <is>
          <t>Total of shares</t>
        </is>
      </c>
      <c r="C12" s="20">
        <f>SUM(C8:C11)</f>
        <v/>
      </c>
    </row>
    <row r="13">
      <c r="A13" s="15" t="inlineStr">
        <is>
          <t>Check</t>
        </is>
      </c>
      <c r="C13" s="15">
        <f>IF(ROUND(C12-B4,2)=0,"Adds up","Does not add up")</f>
        <v/>
      </c>
    </row>
    <row r="15">
      <c r="A15" s="2" t="inlineStr">
        <is>
          <t>Example: ₹3,000 with shares 2:1:1:0 → ₹1,500 / ₹750 / ₹750 / ₹0. The app rounds to the paisa and gives leftover paise to the largest weights.</t>
        </is>
      </c>
    </row>
  </sheetData>
  <dataValidations count="1">
    <dataValidation sqref="B5" showDropDown="0" showInputMessage="0" showErrorMessage="0" allowBlank="0" type="list">
      <formula1>"equal,exact,percent,shares"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</cols>
  <sheetData>
    <row r="1">
      <c r="A1" s="7" t="inlineStr">
        <is>
          <t>Country</t>
        </is>
      </c>
      <c r="B1" s="7" t="inlineStr">
        <is>
          <t>State / region</t>
        </is>
      </c>
      <c r="C1" s="7" t="inlineStr">
        <is>
          <t>City</t>
        </is>
      </c>
    </row>
    <row r="2">
      <c r="A2" s="8" t="inlineStr">
        <is>
          <t>India</t>
        </is>
      </c>
      <c r="B2" s="8" t="inlineStr">
        <is>
          <t>Andhra Pradesh</t>
        </is>
      </c>
      <c r="C2" s="8" t="inlineStr">
        <is>
          <t>Visakhapatnam</t>
        </is>
      </c>
    </row>
    <row r="3">
      <c r="A3" s="8" t="inlineStr">
        <is>
          <t>India</t>
        </is>
      </c>
      <c r="B3" s="8" t="inlineStr">
        <is>
          <t>Andhra Pradesh</t>
        </is>
      </c>
      <c r="C3" s="8" t="inlineStr">
        <is>
          <t>Vijayawada</t>
        </is>
      </c>
    </row>
    <row r="4">
      <c r="A4" s="8" t="inlineStr">
        <is>
          <t>India</t>
        </is>
      </c>
      <c r="B4" s="8" t="inlineStr">
        <is>
          <t>Andhra Pradesh</t>
        </is>
      </c>
      <c r="C4" s="8" t="inlineStr">
        <is>
          <t>Tirupati</t>
        </is>
      </c>
    </row>
    <row r="5">
      <c r="A5" s="8" t="inlineStr">
        <is>
          <t>India</t>
        </is>
      </c>
      <c r="B5" s="8" t="inlineStr">
        <is>
          <t>Andhra Pradesh</t>
        </is>
      </c>
      <c r="C5" s="8" t="inlineStr">
        <is>
          <t>Guntur</t>
        </is>
      </c>
    </row>
    <row r="6">
      <c r="A6" s="8" t="inlineStr">
        <is>
          <t>India</t>
        </is>
      </c>
      <c r="B6" s="8" t="inlineStr">
        <is>
          <t>Arunachal Pradesh</t>
        </is>
      </c>
      <c r="C6" s="8" t="inlineStr">
        <is>
          <t>Itanagar</t>
        </is>
      </c>
    </row>
    <row r="7">
      <c r="A7" s="8" t="inlineStr">
        <is>
          <t>India</t>
        </is>
      </c>
      <c r="B7" s="8" t="inlineStr">
        <is>
          <t>Arunachal Pradesh</t>
        </is>
      </c>
      <c r="C7" s="8" t="inlineStr">
        <is>
          <t>Tawang</t>
        </is>
      </c>
    </row>
    <row r="8">
      <c r="A8" s="8" t="inlineStr">
        <is>
          <t>India</t>
        </is>
      </c>
      <c r="B8" s="8" t="inlineStr">
        <is>
          <t>Assam</t>
        </is>
      </c>
      <c r="C8" s="8" t="inlineStr">
        <is>
          <t>Guwahati</t>
        </is>
      </c>
    </row>
    <row r="9">
      <c r="A9" s="8" t="inlineStr">
        <is>
          <t>India</t>
        </is>
      </c>
      <c r="B9" s="8" t="inlineStr">
        <is>
          <t>Assam</t>
        </is>
      </c>
      <c r="C9" s="8" t="inlineStr">
        <is>
          <t>Dibrugarh</t>
        </is>
      </c>
    </row>
    <row r="10">
      <c r="A10" s="8" t="inlineStr">
        <is>
          <t>India</t>
        </is>
      </c>
      <c r="B10" s="8" t="inlineStr">
        <is>
          <t>Assam</t>
        </is>
      </c>
      <c r="C10" s="8" t="inlineStr">
        <is>
          <t>Silchar</t>
        </is>
      </c>
    </row>
    <row r="11">
      <c r="A11" s="8" t="inlineStr">
        <is>
          <t>India</t>
        </is>
      </c>
      <c r="B11" s="8" t="inlineStr">
        <is>
          <t>Bihar</t>
        </is>
      </c>
      <c r="C11" s="8" t="inlineStr">
        <is>
          <t>Patna</t>
        </is>
      </c>
    </row>
    <row r="12">
      <c r="A12" s="8" t="inlineStr">
        <is>
          <t>India</t>
        </is>
      </c>
      <c r="B12" s="8" t="inlineStr">
        <is>
          <t>Bihar</t>
        </is>
      </c>
      <c r="C12" s="8" t="inlineStr">
        <is>
          <t>Gaya</t>
        </is>
      </c>
    </row>
    <row r="13">
      <c r="A13" s="8" t="inlineStr">
        <is>
          <t>India</t>
        </is>
      </c>
      <c r="B13" s="8" t="inlineStr">
        <is>
          <t>Bihar</t>
        </is>
      </c>
      <c r="C13" s="8" t="inlineStr">
        <is>
          <t>Bhagalpur</t>
        </is>
      </c>
    </row>
    <row r="14">
      <c r="A14" s="8" t="inlineStr">
        <is>
          <t>India</t>
        </is>
      </c>
      <c r="B14" s="8" t="inlineStr">
        <is>
          <t>Chhattisgarh</t>
        </is>
      </c>
      <c r="C14" s="8" t="inlineStr">
        <is>
          <t>Raipur</t>
        </is>
      </c>
    </row>
    <row r="15">
      <c r="A15" s="8" t="inlineStr">
        <is>
          <t>India</t>
        </is>
      </c>
      <c r="B15" s="8" t="inlineStr">
        <is>
          <t>Chhattisgarh</t>
        </is>
      </c>
      <c r="C15" s="8" t="inlineStr">
        <is>
          <t>Bilaspur</t>
        </is>
      </c>
    </row>
    <row r="16">
      <c r="A16" s="8" t="inlineStr">
        <is>
          <t>India</t>
        </is>
      </c>
      <c r="B16" s="8" t="inlineStr">
        <is>
          <t>Chhattisgarh</t>
        </is>
      </c>
      <c r="C16" s="8" t="inlineStr">
        <is>
          <t>Bhilai</t>
        </is>
      </c>
    </row>
    <row r="17">
      <c r="A17" s="8" t="inlineStr">
        <is>
          <t>India</t>
        </is>
      </c>
      <c r="B17" s="8" t="inlineStr">
        <is>
          <t>Goa</t>
        </is>
      </c>
      <c r="C17" s="8" t="inlineStr">
        <is>
          <t>Panaji</t>
        </is>
      </c>
    </row>
    <row r="18">
      <c r="A18" s="8" t="inlineStr">
        <is>
          <t>India</t>
        </is>
      </c>
      <c r="B18" s="8" t="inlineStr">
        <is>
          <t>Goa</t>
        </is>
      </c>
      <c r="C18" s="8" t="inlineStr">
        <is>
          <t>Margao</t>
        </is>
      </c>
    </row>
    <row r="19">
      <c r="A19" s="8" t="inlineStr">
        <is>
          <t>India</t>
        </is>
      </c>
      <c r="B19" s="8" t="inlineStr">
        <is>
          <t>Goa</t>
        </is>
      </c>
      <c r="C19" s="8" t="inlineStr">
        <is>
          <t>Vasco da Gama</t>
        </is>
      </c>
    </row>
    <row r="20">
      <c r="A20" s="8" t="inlineStr">
        <is>
          <t>India</t>
        </is>
      </c>
      <c r="B20" s="8" t="inlineStr">
        <is>
          <t>Gujarat</t>
        </is>
      </c>
      <c r="C20" s="8" t="inlineStr">
        <is>
          <t>Ahmedabad</t>
        </is>
      </c>
    </row>
    <row r="21">
      <c r="A21" s="8" t="inlineStr">
        <is>
          <t>India</t>
        </is>
      </c>
      <c r="B21" s="8" t="inlineStr">
        <is>
          <t>Gujarat</t>
        </is>
      </c>
      <c r="C21" s="8" t="inlineStr">
        <is>
          <t>Surat</t>
        </is>
      </c>
    </row>
    <row r="22">
      <c r="A22" s="8" t="inlineStr">
        <is>
          <t>India</t>
        </is>
      </c>
      <c r="B22" s="8" t="inlineStr">
        <is>
          <t>Gujarat</t>
        </is>
      </c>
      <c r="C22" s="8" t="inlineStr">
        <is>
          <t>Vadodara</t>
        </is>
      </c>
    </row>
    <row r="23">
      <c r="A23" s="8" t="inlineStr">
        <is>
          <t>India</t>
        </is>
      </c>
      <c r="B23" s="8" t="inlineStr">
        <is>
          <t>Gujarat</t>
        </is>
      </c>
      <c r="C23" s="8" t="inlineStr">
        <is>
          <t>Rajkot</t>
        </is>
      </c>
    </row>
    <row r="24">
      <c r="A24" s="8" t="inlineStr">
        <is>
          <t>India</t>
        </is>
      </c>
      <c r="B24" s="8" t="inlineStr">
        <is>
          <t>Gujarat</t>
        </is>
      </c>
      <c r="C24" s="8" t="inlineStr">
        <is>
          <t>Gandhinagar</t>
        </is>
      </c>
    </row>
    <row r="25">
      <c r="A25" s="8" t="inlineStr">
        <is>
          <t>India</t>
        </is>
      </c>
      <c r="B25" s="8" t="inlineStr">
        <is>
          <t>Haryana</t>
        </is>
      </c>
      <c r="C25" s="8" t="inlineStr">
        <is>
          <t>Gurugram</t>
        </is>
      </c>
    </row>
    <row r="26">
      <c r="A26" s="8" t="inlineStr">
        <is>
          <t>India</t>
        </is>
      </c>
      <c r="B26" s="8" t="inlineStr">
        <is>
          <t>Haryana</t>
        </is>
      </c>
      <c r="C26" s="8" t="inlineStr">
        <is>
          <t>Faridabad</t>
        </is>
      </c>
    </row>
    <row r="27">
      <c r="A27" s="8" t="inlineStr">
        <is>
          <t>India</t>
        </is>
      </c>
      <c r="B27" s="8" t="inlineStr">
        <is>
          <t>Haryana</t>
        </is>
      </c>
      <c r="C27" s="8" t="inlineStr">
        <is>
          <t>Panipat</t>
        </is>
      </c>
    </row>
    <row r="28">
      <c r="A28" s="8" t="inlineStr">
        <is>
          <t>India</t>
        </is>
      </c>
      <c r="B28" s="8" t="inlineStr">
        <is>
          <t>Haryana</t>
        </is>
      </c>
      <c r="C28" s="8" t="inlineStr">
        <is>
          <t>Ambala</t>
        </is>
      </c>
    </row>
    <row r="29">
      <c r="A29" s="8" t="inlineStr">
        <is>
          <t>India</t>
        </is>
      </c>
      <c r="B29" s="8" t="inlineStr">
        <is>
          <t>Himachal Pradesh</t>
        </is>
      </c>
      <c r="C29" s="8" t="inlineStr">
        <is>
          <t>Shimla</t>
        </is>
      </c>
    </row>
    <row r="30">
      <c r="A30" s="8" t="inlineStr">
        <is>
          <t>India</t>
        </is>
      </c>
      <c r="B30" s="8" t="inlineStr">
        <is>
          <t>Himachal Pradesh</t>
        </is>
      </c>
      <c r="C30" s="8" t="inlineStr">
        <is>
          <t>Manali</t>
        </is>
      </c>
    </row>
    <row r="31">
      <c r="A31" s="8" t="inlineStr">
        <is>
          <t>India</t>
        </is>
      </c>
      <c r="B31" s="8" t="inlineStr">
        <is>
          <t>Himachal Pradesh</t>
        </is>
      </c>
      <c r="C31" s="8" t="inlineStr">
        <is>
          <t>Dharamshala</t>
        </is>
      </c>
    </row>
    <row r="32">
      <c r="A32" s="8" t="inlineStr">
        <is>
          <t>India</t>
        </is>
      </c>
      <c r="B32" s="8" t="inlineStr">
        <is>
          <t>Jharkhand</t>
        </is>
      </c>
      <c r="C32" s="8" t="inlineStr">
        <is>
          <t>Ranchi</t>
        </is>
      </c>
    </row>
    <row r="33">
      <c r="A33" s="8" t="inlineStr">
        <is>
          <t>India</t>
        </is>
      </c>
      <c r="B33" s="8" t="inlineStr">
        <is>
          <t>Jharkhand</t>
        </is>
      </c>
      <c r="C33" s="8" t="inlineStr">
        <is>
          <t>Jamshedpur</t>
        </is>
      </c>
    </row>
    <row r="34">
      <c r="A34" s="8" t="inlineStr">
        <is>
          <t>India</t>
        </is>
      </c>
      <c r="B34" s="8" t="inlineStr">
        <is>
          <t>Jharkhand</t>
        </is>
      </c>
      <c r="C34" s="8" t="inlineStr">
        <is>
          <t>Dhanbad</t>
        </is>
      </c>
    </row>
    <row r="35">
      <c r="A35" s="8" t="inlineStr">
        <is>
          <t>India</t>
        </is>
      </c>
      <c r="B35" s="8" t="inlineStr">
        <is>
          <t>Karnataka</t>
        </is>
      </c>
      <c r="C35" s="8" t="inlineStr">
        <is>
          <t>Bengaluru</t>
        </is>
      </c>
    </row>
    <row r="36">
      <c r="A36" s="8" t="inlineStr">
        <is>
          <t>India</t>
        </is>
      </c>
      <c r="B36" s="8" t="inlineStr">
        <is>
          <t>Karnataka</t>
        </is>
      </c>
      <c r="C36" s="8" t="inlineStr">
        <is>
          <t>Mysuru</t>
        </is>
      </c>
    </row>
    <row r="37">
      <c r="A37" s="8" t="inlineStr">
        <is>
          <t>India</t>
        </is>
      </c>
      <c r="B37" s="8" t="inlineStr">
        <is>
          <t>Karnataka</t>
        </is>
      </c>
      <c r="C37" s="8" t="inlineStr">
        <is>
          <t>Mangaluru</t>
        </is>
      </c>
    </row>
    <row r="38">
      <c r="A38" s="8" t="inlineStr">
        <is>
          <t>India</t>
        </is>
      </c>
      <c r="B38" s="8" t="inlineStr">
        <is>
          <t>Karnataka</t>
        </is>
      </c>
      <c r="C38" s="8" t="inlineStr">
        <is>
          <t>Hubballi</t>
        </is>
      </c>
    </row>
    <row r="39">
      <c r="A39" s="8" t="inlineStr">
        <is>
          <t>India</t>
        </is>
      </c>
      <c r="B39" s="8" t="inlineStr">
        <is>
          <t>Kerala</t>
        </is>
      </c>
      <c r="C39" s="8" t="inlineStr">
        <is>
          <t>Kochi</t>
        </is>
      </c>
    </row>
    <row r="40">
      <c r="A40" s="8" t="inlineStr">
        <is>
          <t>India</t>
        </is>
      </c>
      <c r="B40" s="8" t="inlineStr">
        <is>
          <t>Kerala</t>
        </is>
      </c>
      <c r="C40" s="8" t="inlineStr">
        <is>
          <t>Thiruvananthapuram</t>
        </is>
      </c>
    </row>
    <row r="41">
      <c r="A41" s="8" t="inlineStr">
        <is>
          <t>India</t>
        </is>
      </c>
      <c r="B41" s="8" t="inlineStr">
        <is>
          <t>Kerala</t>
        </is>
      </c>
      <c r="C41" s="8" t="inlineStr">
        <is>
          <t>Kozhikode</t>
        </is>
      </c>
    </row>
    <row r="42">
      <c r="A42" s="8" t="inlineStr">
        <is>
          <t>India</t>
        </is>
      </c>
      <c r="B42" s="8" t="inlineStr">
        <is>
          <t>Kerala</t>
        </is>
      </c>
      <c r="C42" s="8" t="inlineStr">
        <is>
          <t>Thrissur</t>
        </is>
      </c>
    </row>
    <row r="43">
      <c r="A43" s="8" t="inlineStr">
        <is>
          <t>India</t>
        </is>
      </c>
      <c r="B43" s="8" t="inlineStr">
        <is>
          <t>Madhya Pradesh</t>
        </is>
      </c>
      <c r="C43" s="8" t="inlineStr">
        <is>
          <t>Indore</t>
        </is>
      </c>
    </row>
    <row r="44">
      <c r="A44" s="8" t="inlineStr">
        <is>
          <t>India</t>
        </is>
      </c>
      <c r="B44" s="8" t="inlineStr">
        <is>
          <t>Madhya Pradesh</t>
        </is>
      </c>
      <c r="C44" s="8" t="inlineStr">
        <is>
          <t>Bhopal</t>
        </is>
      </c>
    </row>
    <row r="45">
      <c r="A45" s="8" t="inlineStr">
        <is>
          <t>India</t>
        </is>
      </c>
      <c r="B45" s="8" t="inlineStr">
        <is>
          <t>Madhya Pradesh</t>
        </is>
      </c>
      <c r="C45" s="8" t="inlineStr">
        <is>
          <t>Gwalior</t>
        </is>
      </c>
    </row>
    <row r="46">
      <c r="A46" s="8" t="inlineStr">
        <is>
          <t>India</t>
        </is>
      </c>
      <c r="B46" s="8" t="inlineStr">
        <is>
          <t>Madhya Pradesh</t>
        </is>
      </c>
      <c r="C46" s="8" t="inlineStr">
        <is>
          <t>Jabalpur</t>
        </is>
      </c>
    </row>
    <row r="47">
      <c r="A47" s="8" t="inlineStr">
        <is>
          <t>India</t>
        </is>
      </c>
      <c r="B47" s="8" t="inlineStr">
        <is>
          <t>Maharashtra</t>
        </is>
      </c>
      <c r="C47" s="8" t="inlineStr">
        <is>
          <t>Mumbai</t>
        </is>
      </c>
    </row>
    <row r="48">
      <c r="A48" s="8" t="inlineStr">
        <is>
          <t>India</t>
        </is>
      </c>
      <c r="B48" s="8" t="inlineStr">
        <is>
          <t>Maharashtra</t>
        </is>
      </c>
      <c r="C48" s="8" t="inlineStr">
        <is>
          <t>Pune</t>
        </is>
      </c>
    </row>
    <row r="49">
      <c r="A49" s="8" t="inlineStr">
        <is>
          <t>India</t>
        </is>
      </c>
      <c r="B49" s="8" t="inlineStr">
        <is>
          <t>Maharashtra</t>
        </is>
      </c>
      <c r="C49" s="8" t="inlineStr">
        <is>
          <t>Nagpur</t>
        </is>
      </c>
    </row>
    <row r="50">
      <c r="A50" s="8" t="inlineStr">
        <is>
          <t>India</t>
        </is>
      </c>
      <c r="B50" s="8" t="inlineStr">
        <is>
          <t>Maharashtra</t>
        </is>
      </c>
      <c r="C50" s="8" t="inlineStr">
        <is>
          <t>Nashik</t>
        </is>
      </c>
    </row>
    <row r="51">
      <c r="A51" s="8" t="inlineStr">
        <is>
          <t>India</t>
        </is>
      </c>
      <c r="B51" s="8" t="inlineStr">
        <is>
          <t>Maharashtra</t>
        </is>
      </c>
      <c r="C51" s="8" t="inlineStr">
        <is>
          <t>Thane</t>
        </is>
      </c>
    </row>
    <row r="52">
      <c r="A52" s="8" t="inlineStr">
        <is>
          <t>India</t>
        </is>
      </c>
      <c r="B52" s="8" t="inlineStr">
        <is>
          <t>Maharashtra</t>
        </is>
      </c>
      <c r="C52" s="8" t="inlineStr">
        <is>
          <t>Aurangabad</t>
        </is>
      </c>
    </row>
    <row r="53">
      <c r="A53" s="8" t="inlineStr">
        <is>
          <t>India</t>
        </is>
      </c>
      <c r="B53" s="8" t="inlineStr">
        <is>
          <t>Manipur</t>
        </is>
      </c>
      <c r="C53" s="8" t="inlineStr">
        <is>
          <t>Imphal</t>
        </is>
      </c>
    </row>
    <row r="54">
      <c r="A54" s="8" t="inlineStr">
        <is>
          <t>India</t>
        </is>
      </c>
      <c r="B54" s="8" t="inlineStr">
        <is>
          <t>Meghalaya</t>
        </is>
      </c>
      <c r="C54" s="8" t="inlineStr">
        <is>
          <t>Shillong</t>
        </is>
      </c>
    </row>
    <row r="55">
      <c r="A55" s="8" t="inlineStr">
        <is>
          <t>India</t>
        </is>
      </c>
      <c r="B55" s="8" t="inlineStr">
        <is>
          <t>Mizoram</t>
        </is>
      </c>
      <c r="C55" s="8" t="inlineStr">
        <is>
          <t>Aizawl</t>
        </is>
      </c>
    </row>
    <row r="56">
      <c r="A56" s="8" t="inlineStr">
        <is>
          <t>India</t>
        </is>
      </c>
      <c r="B56" s="8" t="inlineStr">
        <is>
          <t>Nagaland</t>
        </is>
      </c>
      <c r="C56" s="8" t="inlineStr">
        <is>
          <t>Kohima</t>
        </is>
      </c>
    </row>
    <row r="57">
      <c r="A57" s="8" t="inlineStr">
        <is>
          <t>India</t>
        </is>
      </c>
      <c r="B57" s="8" t="inlineStr">
        <is>
          <t>Nagaland</t>
        </is>
      </c>
      <c r="C57" s="8" t="inlineStr">
        <is>
          <t>Dimapur</t>
        </is>
      </c>
    </row>
    <row r="58">
      <c r="A58" s="8" t="inlineStr">
        <is>
          <t>India</t>
        </is>
      </c>
      <c r="B58" s="8" t="inlineStr">
        <is>
          <t>Odisha</t>
        </is>
      </c>
      <c r="C58" s="8" t="inlineStr">
        <is>
          <t>Bhubaneswar</t>
        </is>
      </c>
    </row>
    <row r="59">
      <c r="A59" s="8" t="inlineStr">
        <is>
          <t>India</t>
        </is>
      </c>
      <c r="B59" s="8" t="inlineStr">
        <is>
          <t>Odisha</t>
        </is>
      </c>
      <c r="C59" s="8" t="inlineStr">
        <is>
          <t>Cuttack</t>
        </is>
      </c>
    </row>
    <row r="60">
      <c r="A60" s="8" t="inlineStr">
        <is>
          <t>India</t>
        </is>
      </c>
      <c r="B60" s="8" t="inlineStr">
        <is>
          <t>Odisha</t>
        </is>
      </c>
      <c r="C60" s="8" t="inlineStr">
        <is>
          <t>Puri</t>
        </is>
      </c>
    </row>
    <row r="61">
      <c r="A61" s="8" t="inlineStr">
        <is>
          <t>India</t>
        </is>
      </c>
      <c r="B61" s="8" t="inlineStr">
        <is>
          <t>Punjab</t>
        </is>
      </c>
      <c r="C61" s="8" t="inlineStr">
        <is>
          <t>Ludhiana</t>
        </is>
      </c>
    </row>
    <row r="62">
      <c r="A62" s="8" t="inlineStr">
        <is>
          <t>India</t>
        </is>
      </c>
      <c r="B62" s="8" t="inlineStr">
        <is>
          <t>Punjab</t>
        </is>
      </c>
      <c r="C62" s="8" t="inlineStr">
        <is>
          <t>Amritsar</t>
        </is>
      </c>
    </row>
    <row r="63">
      <c r="A63" s="8" t="inlineStr">
        <is>
          <t>India</t>
        </is>
      </c>
      <c r="B63" s="8" t="inlineStr">
        <is>
          <t>Punjab</t>
        </is>
      </c>
      <c r="C63" s="8" t="inlineStr">
        <is>
          <t>Jalandhar</t>
        </is>
      </c>
    </row>
    <row r="64">
      <c r="A64" s="8" t="inlineStr">
        <is>
          <t>India</t>
        </is>
      </c>
      <c r="B64" s="8" t="inlineStr">
        <is>
          <t>Punjab</t>
        </is>
      </c>
      <c r="C64" s="8" t="inlineStr">
        <is>
          <t>Mohali</t>
        </is>
      </c>
    </row>
    <row r="65">
      <c r="A65" s="8" t="inlineStr">
        <is>
          <t>India</t>
        </is>
      </c>
      <c r="B65" s="8" t="inlineStr">
        <is>
          <t>Rajasthan</t>
        </is>
      </c>
      <c r="C65" s="8" t="inlineStr">
        <is>
          <t>Jaipur</t>
        </is>
      </c>
    </row>
    <row r="66">
      <c r="A66" s="8" t="inlineStr">
        <is>
          <t>India</t>
        </is>
      </c>
      <c r="B66" s="8" t="inlineStr">
        <is>
          <t>Rajasthan</t>
        </is>
      </c>
      <c r="C66" s="8" t="inlineStr">
        <is>
          <t>Udaipur</t>
        </is>
      </c>
    </row>
    <row r="67">
      <c r="A67" s="8" t="inlineStr">
        <is>
          <t>India</t>
        </is>
      </c>
      <c r="B67" s="8" t="inlineStr">
        <is>
          <t>Rajasthan</t>
        </is>
      </c>
      <c r="C67" s="8" t="inlineStr">
        <is>
          <t>Jodhpur</t>
        </is>
      </c>
    </row>
    <row r="68">
      <c r="A68" s="8" t="inlineStr">
        <is>
          <t>India</t>
        </is>
      </c>
      <c r="B68" s="8" t="inlineStr">
        <is>
          <t>Rajasthan</t>
        </is>
      </c>
      <c r="C68" s="8" t="inlineStr">
        <is>
          <t>Kota</t>
        </is>
      </c>
    </row>
    <row r="69">
      <c r="A69" s="8" t="inlineStr">
        <is>
          <t>India</t>
        </is>
      </c>
      <c r="B69" s="8" t="inlineStr">
        <is>
          <t>Sikkim</t>
        </is>
      </c>
      <c r="C69" s="8" t="inlineStr">
        <is>
          <t>Gangtok</t>
        </is>
      </c>
    </row>
    <row r="70">
      <c r="A70" s="8" t="inlineStr">
        <is>
          <t>India</t>
        </is>
      </c>
      <c r="B70" s="8" t="inlineStr">
        <is>
          <t>Tamil Nadu</t>
        </is>
      </c>
      <c r="C70" s="8" t="inlineStr">
        <is>
          <t>Chennai</t>
        </is>
      </c>
    </row>
    <row r="71">
      <c r="A71" s="8" t="inlineStr">
        <is>
          <t>India</t>
        </is>
      </c>
      <c r="B71" s="8" t="inlineStr">
        <is>
          <t>Tamil Nadu</t>
        </is>
      </c>
      <c r="C71" s="8" t="inlineStr">
        <is>
          <t>Coimbatore</t>
        </is>
      </c>
    </row>
    <row r="72">
      <c r="A72" s="8" t="inlineStr">
        <is>
          <t>India</t>
        </is>
      </c>
      <c r="B72" s="8" t="inlineStr">
        <is>
          <t>Tamil Nadu</t>
        </is>
      </c>
      <c r="C72" s="8" t="inlineStr">
        <is>
          <t>Madurai</t>
        </is>
      </c>
    </row>
    <row r="73">
      <c r="A73" s="8" t="inlineStr">
        <is>
          <t>India</t>
        </is>
      </c>
      <c r="B73" s="8" t="inlineStr">
        <is>
          <t>Tamil Nadu</t>
        </is>
      </c>
      <c r="C73" s="8" t="inlineStr">
        <is>
          <t>Tiruchirappalli</t>
        </is>
      </c>
    </row>
    <row r="74">
      <c r="A74" s="8" t="inlineStr">
        <is>
          <t>India</t>
        </is>
      </c>
      <c r="B74" s="8" t="inlineStr">
        <is>
          <t>Telangana</t>
        </is>
      </c>
      <c r="C74" s="8" t="inlineStr">
        <is>
          <t>Hyderabad</t>
        </is>
      </c>
    </row>
    <row r="75">
      <c r="A75" s="8" t="inlineStr">
        <is>
          <t>India</t>
        </is>
      </c>
      <c r="B75" s="8" t="inlineStr">
        <is>
          <t>Telangana</t>
        </is>
      </c>
      <c r="C75" s="8" t="inlineStr">
        <is>
          <t>Warangal</t>
        </is>
      </c>
    </row>
    <row r="76">
      <c r="A76" s="8" t="inlineStr">
        <is>
          <t>India</t>
        </is>
      </c>
      <c r="B76" s="8" t="inlineStr">
        <is>
          <t>Telangana</t>
        </is>
      </c>
      <c r="C76" s="8" t="inlineStr">
        <is>
          <t>Karimnagar</t>
        </is>
      </c>
    </row>
    <row r="77">
      <c r="A77" s="8" t="inlineStr">
        <is>
          <t>India</t>
        </is>
      </c>
      <c r="B77" s="8" t="inlineStr">
        <is>
          <t>Tripura</t>
        </is>
      </c>
      <c r="C77" s="8" t="inlineStr">
        <is>
          <t>Agartala</t>
        </is>
      </c>
    </row>
    <row r="78">
      <c r="A78" s="8" t="inlineStr">
        <is>
          <t>India</t>
        </is>
      </c>
      <c r="B78" s="8" t="inlineStr">
        <is>
          <t>Uttar Pradesh</t>
        </is>
      </c>
      <c r="C78" s="8" t="inlineStr">
        <is>
          <t>Lucknow</t>
        </is>
      </c>
    </row>
    <row r="79">
      <c r="A79" s="8" t="inlineStr">
        <is>
          <t>India</t>
        </is>
      </c>
      <c r="B79" s="8" t="inlineStr">
        <is>
          <t>Uttar Pradesh</t>
        </is>
      </c>
      <c r="C79" s="8" t="inlineStr">
        <is>
          <t>Noida</t>
        </is>
      </c>
    </row>
    <row r="80">
      <c r="A80" s="8" t="inlineStr">
        <is>
          <t>India</t>
        </is>
      </c>
      <c r="B80" s="8" t="inlineStr">
        <is>
          <t>Uttar Pradesh</t>
        </is>
      </c>
      <c r="C80" s="8" t="inlineStr">
        <is>
          <t>Kanpur</t>
        </is>
      </c>
    </row>
    <row r="81">
      <c r="A81" s="8" t="inlineStr">
        <is>
          <t>India</t>
        </is>
      </c>
      <c r="B81" s="8" t="inlineStr">
        <is>
          <t>Uttar Pradesh</t>
        </is>
      </c>
      <c r="C81" s="8" t="inlineStr">
        <is>
          <t>Varanasi</t>
        </is>
      </c>
    </row>
    <row r="82">
      <c r="A82" s="8" t="inlineStr">
        <is>
          <t>India</t>
        </is>
      </c>
      <c r="B82" s="8" t="inlineStr">
        <is>
          <t>Uttar Pradesh</t>
        </is>
      </c>
      <c r="C82" s="8" t="inlineStr">
        <is>
          <t>Agra</t>
        </is>
      </c>
    </row>
    <row r="83">
      <c r="A83" s="8" t="inlineStr">
        <is>
          <t>India</t>
        </is>
      </c>
      <c r="B83" s="8" t="inlineStr">
        <is>
          <t>Uttar Pradesh</t>
        </is>
      </c>
      <c r="C83" s="8" t="inlineStr">
        <is>
          <t>Ghaziabad</t>
        </is>
      </c>
    </row>
    <row r="84">
      <c r="A84" s="8" t="inlineStr">
        <is>
          <t>India</t>
        </is>
      </c>
      <c r="B84" s="8" t="inlineStr">
        <is>
          <t>Uttarakhand</t>
        </is>
      </c>
      <c r="C84" s="8" t="inlineStr">
        <is>
          <t>Dehradun</t>
        </is>
      </c>
    </row>
    <row r="85">
      <c r="A85" s="8" t="inlineStr">
        <is>
          <t>India</t>
        </is>
      </c>
      <c r="B85" s="8" t="inlineStr">
        <is>
          <t>Uttarakhand</t>
        </is>
      </c>
      <c r="C85" s="8" t="inlineStr">
        <is>
          <t>Rishikesh</t>
        </is>
      </c>
    </row>
    <row r="86">
      <c r="A86" s="8" t="inlineStr">
        <is>
          <t>India</t>
        </is>
      </c>
      <c r="B86" s="8" t="inlineStr">
        <is>
          <t>Uttarakhand</t>
        </is>
      </c>
      <c r="C86" s="8" t="inlineStr">
        <is>
          <t>Nainital</t>
        </is>
      </c>
    </row>
    <row r="87">
      <c r="A87" s="8" t="inlineStr">
        <is>
          <t>India</t>
        </is>
      </c>
      <c r="B87" s="8" t="inlineStr">
        <is>
          <t>West Bengal</t>
        </is>
      </c>
      <c r="C87" s="8" t="inlineStr">
        <is>
          <t>Kolkata</t>
        </is>
      </c>
    </row>
    <row r="88">
      <c r="A88" s="8" t="inlineStr">
        <is>
          <t>India</t>
        </is>
      </c>
      <c r="B88" s="8" t="inlineStr">
        <is>
          <t>West Bengal</t>
        </is>
      </c>
      <c r="C88" s="8" t="inlineStr">
        <is>
          <t>Siliguri</t>
        </is>
      </c>
    </row>
    <row r="89">
      <c r="A89" s="8" t="inlineStr">
        <is>
          <t>India</t>
        </is>
      </c>
      <c r="B89" s="8" t="inlineStr">
        <is>
          <t>West Bengal</t>
        </is>
      </c>
      <c r="C89" s="8" t="inlineStr">
        <is>
          <t>Durgapur</t>
        </is>
      </c>
    </row>
    <row r="90">
      <c r="A90" s="8" t="inlineStr">
        <is>
          <t>India</t>
        </is>
      </c>
      <c r="B90" s="8" t="inlineStr">
        <is>
          <t>West Bengal</t>
        </is>
      </c>
      <c r="C90" s="8" t="inlineStr">
        <is>
          <t>Darjeeling</t>
        </is>
      </c>
    </row>
    <row r="91">
      <c r="A91" s="8" t="inlineStr">
        <is>
          <t>India</t>
        </is>
      </c>
      <c r="B91" s="8" t="inlineStr">
        <is>
          <t>Andaman and Nicobar Islands</t>
        </is>
      </c>
      <c r="C91" s="8" t="inlineStr">
        <is>
          <t>Port Blair</t>
        </is>
      </c>
    </row>
    <row r="92">
      <c r="A92" s="8" t="inlineStr">
        <is>
          <t>India</t>
        </is>
      </c>
      <c r="B92" s="8" t="inlineStr">
        <is>
          <t>Chandigarh</t>
        </is>
      </c>
      <c r="C92" s="8" t="inlineStr">
        <is>
          <t>Chandigarh</t>
        </is>
      </c>
    </row>
    <row r="93">
      <c r="A93" s="8" t="inlineStr">
        <is>
          <t>India</t>
        </is>
      </c>
      <c r="B93" s="8" t="inlineStr">
        <is>
          <t>Dadra and Nagar Haveli and Daman and Diu</t>
        </is>
      </c>
      <c r="C93" s="8" t="inlineStr">
        <is>
          <t>Daman</t>
        </is>
      </c>
    </row>
    <row r="94">
      <c r="A94" s="8" t="inlineStr">
        <is>
          <t>India</t>
        </is>
      </c>
      <c r="B94" s="8" t="inlineStr">
        <is>
          <t>Dadra and Nagar Haveli and Daman and Diu</t>
        </is>
      </c>
      <c r="C94" s="8" t="inlineStr">
        <is>
          <t>Silvassa</t>
        </is>
      </c>
    </row>
    <row r="95">
      <c r="A95" s="8" t="inlineStr">
        <is>
          <t>India</t>
        </is>
      </c>
      <c r="B95" s="8" t="inlineStr">
        <is>
          <t>Delhi</t>
        </is>
      </c>
      <c r="C95" s="8" t="inlineStr">
        <is>
          <t>New Delhi</t>
        </is>
      </c>
    </row>
    <row r="96">
      <c r="A96" s="8" t="inlineStr">
        <is>
          <t>India</t>
        </is>
      </c>
      <c r="B96" s="8" t="inlineStr">
        <is>
          <t>Delhi</t>
        </is>
      </c>
      <c r="C96" s="8" t="inlineStr">
        <is>
          <t>Delhi</t>
        </is>
      </c>
    </row>
    <row r="97">
      <c r="A97" s="8" t="inlineStr">
        <is>
          <t>India</t>
        </is>
      </c>
      <c r="B97" s="8" t="inlineStr">
        <is>
          <t>Jammu and Kashmir</t>
        </is>
      </c>
      <c r="C97" s="8" t="inlineStr">
        <is>
          <t>Srinagar</t>
        </is>
      </c>
    </row>
    <row r="98">
      <c r="A98" s="8" t="inlineStr">
        <is>
          <t>India</t>
        </is>
      </c>
      <c r="B98" s="8" t="inlineStr">
        <is>
          <t>Jammu and Kashmir</t>
        </is>
      </c>
      <c r="C98" s="8" t="inlineStr">
        <is>
          <t>Jammu</t>
        </is>
      </c>
    </row>
    <row r="99">
      <c r="A99" s="8" t="inlineStr">
        <is>
          <t>India</t>
        </is>
      </c>
      <c r="B99" s="8" t="inlineStr">
        <is>
          <t>Ladakh</t>
        </is>
      </c>
      <c r="C99" s="8" t="inlineStr">
        <is>
          <t>Leh</t>
        </is>
      </c>
    </row>
    <row r="100">
      <c r="A100" s="8" t="inlineStr">
        <is>
          <t>India</t>
        </is>
      </c>
      <c r="B100" s="8" t="inlineStr">
        <is>
          <t>Lakshadweep</t>
        </is>
      </c>
      <c r="C100" s="8" t="inlineStr">
        <is>
          <t>Kavaratti</t>
        </is>
      </c>
    </row>
    <row r="101">
      <c r="A101" s="8" t="inlineStr">
        <is>
          <t>India</t>
        </is>
      </c>
      <c r="B101" s="8" t="inlineStr">
        <is>
          <t>Puducherry</t>
        </is>
      </c>
      <c r="C101" s="8" t="inlineStr">
        <is>
          <t>Puducherry</t>
        </is>
      </c>
    </row>
    <row r="102">
      <c r="A102" s="8" t="inlineStr">
        <is>
          <t>United Arab Emirates</t>
        </is>
      </c>
      <c r="B102" s="8" t="inlineStr">
        <is>
          <t>Dubai</t>
        </is>
      </c>
      <c r="C102" s="8" t="inlineStr">
        <is>
          <t>Dubai</t>
        </is>
      </c>
    </row>
    <row r="103">
      <c r="A103" s="8" t="inlineStr">
        <is>
          <t>United Arab Emirates</t>
        </is>
      </c>
      <c r="B103" s="8" t="inlineStr">
        <is>
          <t>Abu Dhabi</t>
        </is>
      </c>
      <c r="C103" s="8" t="inlineStr">
        <is>
          <t>Abu Dhabi</t>
        </is>
      </c>
    </row>
    <row r="104">
      <c r="A104" s="8" t="inlineStr">
        <is>
          <t>Singapore</t>
        </is>
      </c>
      <c r="B104" s="8" t="inlineStr">
        <is>
          <t>Singapore</t>
        </is>
      </c>
      <c r="C104" s="8" t="inlineStr">
        <is>
          <t>Singapore</t>
        </is>
      </c>
    </row>
    <row r="105">
      <c r="A105" s="8" t="inlineStr">
        <is>
          <t>United Kingdom</t>
        </is>
      </c>
      <c r="B105" s="8" t="inlineStr">
        <is>
          <t>England</t>
        </is>
      </c>
      <c r="C105" s="8" t="inlineStr">
        <is>
          <t>London</t>
        </is>
      </c>
    </row>
    <row r="106">
      <c r="A106" s="8" t="inlineStr">
        <is>
          <t>United Kingdom</t>
        </is>
      </c>
      <c r="B106" s="8" t="inlineStr">
        <is>
          <t>England</t>
        </is>
      </c>
      <c r="C106" s="8" t="inlineStr">
        <is>
          <t>Manchester</t>
        </is>
      </c>
    </row>
    <row r="107">
      <c r="A107" s="8" t="inlineStr">
        <is>
          <t>United Kingdom</t>
        </is>
      </c>
      <c r="B107" s="8" t="inlineStr">
        <is>
          <t>Scotland</t>
        </is>
      </c>
      <c r="C107" s="8" t="inlineStr">
        <is>
          <t>Edinburgh</t>
        </is>
      </c>
    </row>
    <row r="108">
      <c r="A108" s="8" t="inlineStr">
        <is>
          <t>United States</t>
        </is>
      </c>
      <c r="B108" s="8" t="inlineStr">
        <is>
          <t>California</t>
        </is>
      </c>
      <c r="C108" s="8" t="inlineStr">
        <is>
          <t>San Francisco</t>
        </is>
      </c>
    </row>
    <row r="109">
      <c r="A109" s="8" t="inlineStr">
        <is>
          <t>United States</t>
        </is>
      </c>
      <c r="B109" s="8" t="inlineStr">
        <is>
          <t>California</t>
        </is>
      </c>
      <c r="C109" s="8" t="inlineStr">
        <is>
          <t>Los Angeles</t>
        </is>
      </c>
    </row>
    <row r="110">
      <c r="A110" s="8" t="inlineStr">
        <is>
          <t>United States</t>
        </is>
      </c>
      <c r="B110" s="8" t="inlineStr">
        <is>
          <t>New York</t>
        </is>
      </c>
      <c r="C110" s="8" t="inlineStr">
        <is>
          <t>New York City</t>
        </is>
      </c>
    </row>
    <row r="111">
      <c r="A111" s="8" t="inlineStr">
        <is>
          <t>United States</t>
        </is>
      </c>
      <c r="B111" s="8" t="inlineStr">
        <is>
          <t>Texas</t>
        </is>
      </c>
      <c r="C111" s="8" t="inlineStr">
        <is>
          <t>Austin</t>
        </is>
      </c>
    </row>
    <row r="112">
      <c r="A112" s="15" t="inlineStr">
        <is>
          <t>Other…</t>
        </is>
      </c>
      <c r="B112" s="15" t="inlineStr">
        <is>
          <t>Other… (type any state or region)</t>
        </is>
      </c>
      <c r="C112" s="15" t="inlineStr">
        <is>
          <t>Other… (type any city)</t>
        </is>
      </c>
    </row>
    <row r="114">
      <c r="A114" s="2" t="inlineStr">
        <is>
          <t>36 Indian states &amp; union territories, 100 Indian cities, plus 4 other countries. Every level has an 'Other' option for typing a place that isn't listed.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1" customWidth="1" min="4" max="4"/>
    <col width="10" customWidth="1" min="5" max="5"/>
    <col width="24" customWidth="1" min="6" max="6"/>
  </cols>
  <sheetData>
    <row r="1">
      <c r="A1" s="7" t="inlineStr">
        <is>
          <t>Film</t>
        </is>
      </c>
      <c r="B1" s="7" t="inlineStr">
        <is>
          <t>Language</t>
        </is>
      </c>
      <c r="C1" s="7" t="inlineStr">
        <is>
          <t>Genre</t>
        </is>
      </c>
      <c r="D1" s="7" t="inlineStr">
        <is>
          <t>Certificate</t>
        </is>
      </c>
      <c r="E1" s="7" t="inlineStr">
        <is>
          <t>Runtime</t>
        </is>
      </c>
      <c r="F1" s="7" t="inlineStr">
        <is>
          <t>Formats</t>
        </is>
      </c>
    </row>
    <row r="2">
      <c r="A2" s="8" t="inlineStr">
        <is>
          <t>Monsoon Letters</t>
        </is>
      </c>
      <c r="B2" s="8" t="inlineStr">
        <is>
          <t>Hindi</t>
        </is>
      </c>
      <c r="C2" s="8" t="inlineStr">
        <is>
          <t>Romance · Drama</t>
        </is>
      </c>
      <c r="D2" s="8" t="inlineStr">
        <is>
          <t>UA</t>
        </is>
      </c>
      <c r="E2" s="8" t="inlineStr">
        <is>
          <t>2h 18m</t>
        </is>
      </c>
      <c r="F2" s="8" t="inlineStr">
        <is>
          <t>2D / Recliner</t>
        </is>
      </c>
    </row>
    <row r="3">
      <c r="A3" s="8" t="inlineStr">
        <is>
          <t>Rakshak: The Last Guard</t>
        </is>
      </c>
      <c r="B3" s="8" t="inlineStr">
        <is>
          <t>Hindi</t>
        </is>
      </c>
      <c r="C3" s="8" t="inlineStr">
        <is>
          <t>Action</t>
        </is>
      </c>
      <c r="D3" s="8" t="inlineStr">
        <is>
          <t>UA</t>
        </is>
      </c>
      <c r="E3" s="8" t="inlineStr">
        <is>
          <t>2h 34m</t>
        </is>
      </c>
      <c r="F3" s="8" t="inlineStr">
        <is>
          <t>2D / IMAX / Recliner</t>
        </is>
      </c>
    </row>
    <row r="4">
      <c r="A4" s="8" t="inlineStr">
        <is>
          <t>Marina Nights</t>
        </is>
      </c>
      <c r="B4" s="8" t="inlineStr">
        <is>
          <t>Tamil</t>
        </is>
      </c>
      <c r="C4" s="8" t="inlineStr">
        <is>
          <t>Thriller</t>
        </is>
      </c>
      <c r="D4" s="8" t="inlineStr">
        <is>
          <t>UA</t>
        </is>
      </c>
      <c r="E4" s="8" t="inlineStr">
        <is>
          <t>2h 26m</t>
        </is>
      </c>
      <c r="F4" s="8" t="inlineStr">
        <is>
          <t>2D / Recliner</t>
        </is>
      </c>
    </row>
    <row r="5">
      <c r="A5" s="8" t="inlineStr">
        <is>
          <t>Pushpaka Rising</t>
        </is>
      </c>
      <c r="B5" s="8" t="inlineStr">
        <is>
          <t>Telugu</t>
        </is>
      </c>
      <c r="C5" s="8" t="inlineStr">
        <is>
          <t>Action · Fantasy</t>
        </is>
      </c>
      <c r="D5" s="8" t="inlineStr">
        <is>
          <t>UA</t>
        </is>
      </c>
      <c r="E5" s="8" t="inlineStr">
        <is>
          <t>2h 51m</t>
        </is>
      </c>
      <c r="F5" s="8" t="inlineStr">
        <is>
          <t>2D / 3D / IMAX</t>
        </is>
      </c>
    </row>
    <row r="6">
      <c r="A6" s="8" t="inlineStr">
        <is>
          <t>Kaveri Diaries</t>
        </is>
      </c>
      <c r="B6" s="8" t="inlineStr">
        <is>
          <t>Kannada</t>
        </is>
      </c>
      <c r="C6" s="8" t="inlineStr">
        <is>
          <t>Drama</t>
        </is>
      </c>
      <c r="D6" s="8" t="inlineStr">
        <is>
          <t>U</t>
        </is>
      </c>
      <c r="E6" s="8" t="inlineStr">
        <is>
          <t>2h 05m</t>
        </is>
      </c>
      <c r="F6" s="8" t="inlineStr">
        <is>
          <t>2D</t>
        </is>
      </c>
    </row>
    <row r="7">
      <c r="A7" s="8" t="inlineStr">
        <is>
          <t>Orbit 9</t>
        </is>
      </c>
      <c r="B7" s="8" t="inlineStr">
        <is>
          <t>English</t>
        </is>
      </c>
      <c r="C7" s="8" t="inlineStr">
        <is>
          <t>Sci-fi</t>
        </is>
      </c>
      <c r="D7" s="8" t="inlineStr">
        <is>
          <t>UA</t>
        </is>
      </c>
      <c r="E7" s="8" t="inlineStr">
        <is>
          <t>2h 12m</t>
        </is>
      </c>
      <c r="F7" s="8" t="inlineStr">
        <is>
          <t>2D / 3D / IMAX</t>
        </is>
      </c>
    </row>
    <row r="8">
      <c r="A8" s="8" t="inlineStr">
        <is>
          <t>Ponnonam</t>
        </is>
      </c>
      <c r="B8" s="8" t="inlineStr">
        <is>
          <t>Malayalam</t>
        </is>
      </c>
      <c r="C8" s="8" t="inlineStr">
        <is>
          <t>Family · Comedy</t>
        </is>
      </c>
      <c r="D8" s="8" t="inlineStr">
        <is>
          <t>U</t>
        </is>
      </c>
      <c r="E8" s="8" t="inlineStr">
        <is>
          <t>2h 10m</t>
        </is>
      </c>
      <c r="F8" s="8" t="inlineStr">
        <is>
          <t>2D</t>
        </is>
      </c>
    </row>
    <row r="9">
      <c r="A9" s="8" t="inlineStr">
        <is>
          <t>Kolkata Noir</t>
        </is>
      </c>
      <c r="B9" s="8" t="inlineStr">
        <is>
          <t>Bengali</t>
        </is>
      </c>
      <c r="C9" s="8" t="inlineStr">
        <is>
          <t>Mystery</t>
        </is>
      </c>
      <c r="D9" s="8" t="inlineStr">
        <is>
          <t>A</t>
        </is>
      </c>
      <c r="E9" s="8" t="inlineStr">
        <is>
          <t>2h 01m</t>
        </is>
      </c>
      <c r="F9" s="8" t="inlineStr">
        <is>
          <t>2D / Recliner</t>
        </is>
      </c>
    </row>
    <row r="11">
      <c r="A11" s="3" t="inlineStr">
        <is>
          <t>Event types near you</t>
        </is>
      </c>
    </row>
    <row r="12">
      <c r="A12" s="8" t="inlineStr">
        <is>
          <t>Music</t>
        </is>
      </c>
      <c r="B12" s="8" t="inlineStr">
        <is>
          <t>music</t>
        </is>
      </c>
    </row>
    <row r="13">
      <c r="A13" s="8" t="inlineStr">
        <is>
          <t>Sports</t>
        </is>
      </c>
      <c r="B13" s="8" t="inlineStr">
        <is>
          <t>sports</t>
        </is>
      </c>
    </row>
    <row r="14">
      <c r="A14" s="8" t="inlineStr">
        <is>
          <t>Tech</t>
        </is>
      </c>
      <c r="B14" s="8" t="inlineStr">
        <is>
          <t>tech</t>
        </is>
      </c>
    </row>
    <row r="15">
      <c r="A15" s="8" t="inlineStr">
        <is>
          <t>Comedy</t>
        </is>
      </c>
      <c r="B15" s="8" t="inlineStr">
        <is>
          <t>comedy</t>
        </is>
      </c>
    </row>
    <row r="16">
      <c r="A16" s="8" t="inlineStr">
        <is>
          <t>Theatre</t>
        </is>
      </c>
      <c r="B16" s="8" t="inlineStr">
        <is>
          <t>theatre</t>
        </is>
      </c>
    </row>
    <row r="17">
      <c r="A17" s="8" t="inlineStr">
        <is>
          <t>Food &amp; festivals</t>
        </is>
      </c>
      <c r="B17" s="8" t="inlineStr">
        <is>
          <t>food</t>
        </is>
      </c>
    </row>
    <row r="19">
      <c r="A19" s="2" t="inlineStr">
        <is>
          <t>Films, cinemas, events and venues are fictional demo data, generated for whichever city is selected.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4" customWidth="1" min="3" max="3"/>
    <col width="40" customWidth="1" min="4" max="4"/>
    <col width="26" customWidth="1" min="5" max="5"/>
  </cols>
  <sheetData>
    <row r="1">
      <c r="A1" s="7" t="inlineStr">
        <is>
          <t>Step</t>
        </is>
      </c>
      <c r="B1" s="7" t="inlineStr">
        <is>
          <t>Agent / actor</t>
        </is>
      </c>
      <c r="C1" s="7" t="inlineStr">
        <is>
          <t>What happens</t>
        </is>
      </c>
      <c r="D1" s="7" t="inlineStr">
        <is>
          <t>Output</t>
        </is>
      </c>
      <c r="E1" s="7" t="inlineStr">
        <is>
          <t>Where in the app</t>
        </is>
      </c>
    </row>
    <row r="2">
      <c r="A2" s="23" t="n">
        <v>1</v>
      </c>
      <c r="B2" s="23" t="inlineStr">
        <is>
          <t>Requester</t>
        </is>
      </c>
      <c r="C2" s="23" t="inlineStr">
        <is>
          <t>Picks Country → State → City (or 'Other' and types it), then browses Movies / Events / Dining, or types a request such as '3 tickets for Orbit 9 IMAX tomorrow evening'.</t>
        </is>
      </c>
      <c r="D2" s="23" t="inlineStr">
        <is>
          <t>Location + request</t>
        </is>
      </c>
      <c r="E2" s="23" t="inlineStr">
        <is>
          <t>Top bar · Discover</t>
        </is>
      </c>
    </row>
    <row r="3">
      <c r="A3" s="23" t="n">
        <v>2</v>
      </c>
      <c r="B3" s="23" t="inlineStr">
        <is>
          <t>Concierge agent</t>
        </is>
      </c>
      <c r="C3" s="23" t="inlineStr">
        <is>
          <t>Works out the category, city, date and party size; picks the show and best seats together, the event and ticket tier, or the venue; prices it; proposes who pays; matches a family/friends group.</t>
        </is>
      </c>
      <c r="D3" s="23" t="inlineStr">
        <is>
          <t>Priced booking draft</t>
        </is>
      </c>
      <c r="E3" s="23" t="inlineStr">
        <is>
          <t>Checkout · Concierge</t>
        </is>
      </c>
    </row>
    <row r="4">
      <c r="A4" s="23" t="n">
        <v>3</v>
      </c>
      <c r="B4" s="23" t="inlineStr">
        <is>
          <t>Budget agent</t>
        </is>
      </c>
      <c r="C4" s="23" t="inlineStr">
        <is>
          <t>Checks the right pot: department quarterly budget, wellbeing allowance or personal monthly budget.</t>
        </is>
      </c>
      <c r="D4" s="23" t="inlineStr">
        <is>
          <t>ok / warn / over + notes</t>
        </is>
      </c>
      <c r="E4" s="23" t="inlineStr">
        <is>
          <t>Checkout · Budget agent</t>
        </is>
      </c>
    </row>
    <row r="5">
      <c r="A5" s="23" t="n">
        <v>4</v>
      </c>
      <c r="B5" s="23" t="inlineStr">
        <is>
          <t>Policy agent</t>
        </is>
      </c>
      <c r="C5" s="23" t="inlineStr">
        <is>
          <t>Builds the approval chain from ₹ thresholds, per-person caps, compliance categories and budget status; removes self-approval.</t>
        </is>
      </c>
      <c r="D5" s="23" t="inlineStr">
        <is>
          <t>Ordered approvers or auto-approval</t>
        </is>
      </c>
      <c r="E5" s="23" t="inlineStr">
        <is>
          <t>Checkout · Policy agent</t>
        </is>
      </c>
    </row>
    <row r="6">
      <c r="A6" s="23" t="n">
        <v>5</v>
      </c>
      <c r="B6" s="23" t="inlineStr">
        <is>
          <t>Requester</t>
        </is>
      </c>
      <c r="C6" s="23" t="inlineStr">
        <is>
          <t>Changes who pays / group / purpose if needed and confirms. Movie seats are held immediately.</t>
        </is>
      </c>
      <c r="D6" s="23" t="inlineStr">
        <is>
          <t>Booking created</t>
        </is>
      </c>
      <c r="E6" s="23" t="inlineStr">
        <is>
          <t>Bookings</t>
        </is>
      </c>
    </row>
    <row r="7">
      <c r="A7" s="23" t="n">
        <v>6</v>
      </c>
      <c r="B7" s="23" t="inlineStr">
        <is>
          <t>Approval agent</t>
        </is>
      </c>
      <c r="C7" s="23" t="inlineStr">
        <is>
          <t>Notifies the current approver; each approves or rejects in order; a rejection stops the chain and releases seats.</t>
        </is>
      </c>
      <c r="D7" s="23" t="inlineStr">
        <is>
          <t>Approved / rejected</t>
        </is>
      </c>
      <c r="E7" s="23" t="inlineStr">
        <is>
          <t>Approvals</t>
        </is>
      </c>
    </row>
    <row r="8">
      <c r="A8" s="23" t="n">
        <v>7</v>
      </c>
      <c r="B8" s="23" t="inlineStr">
        <is>
          <t>Booking agent</t>
        </is>
      </c>
      <c r="C8" s="23" t="inlineStr">
        <is>
          <t>Confirms with the cinema, organiser or venue and issues m-tickets, e-tickets or a confirmation code.</t>
        </is>
      </c>
      <c r="D8" s="23" t="inlineStr">
        <is>
          <t>Confirmed booking</t>
        </is>
      </c>
      <c r="E8" s="23" t="inlineStr">
        <is>
          <t>Bookings → details</t>
        </is>
      </c>
    </row>
    <row r="9">
      <c r="A9" s="23" t="n">
        <v>8</v>
      </c>
      <c r="B9" s="23" t="inlineStr">
        <is>
          <t>Split agent</t>
        </is>
      </c>
      <c r="C9" s="23" t="inlineStr">
        <is>
          <t>Shared bookings: posts to the group ledger, computes shares, balances and a fewest-payments settle-up (UPI).</t>
        </is>
      </c>
      <c r="D9" s="23" t="inlineStr">
        <is>
          <t>Group ledger entry</t>
        </is>
      </c>
      <c r="E9" s="23" t="inlineStr">
        <is>
          <t>Family &amp; friends</t>
        </is>
      </c>
    </row>
    <row r="10">
      <c r="A10" s="23" t="n">
        <v>9</v>
      </c>
      <c r="B10" s="23" t="inlineStr">
        <is>
          <t>Expense agent</t>
        </is>
      </c>
      <c r="C10" s="23" t="inlineStr">
        <is>
          <t>Reimbursable bookings become claimable; the report is drafted with receipts and routed to Finance, HR or Benefits.</t>
        </is>
      </c>
      <c r="D10" s="23" t="inlineStr">
        <is>
          <t>Expense report</t>
        </is>
      </c>
      <c r="E10" s="23" t="inlineStr">
        <is>
          <t>Expense reports</t>
        </is>
      </c>
    </row>
    <row r="11">
      <c r="A11" s="23" t="n">
        <v>10</v>
      </c>
      <c r="B11" s="23" t="inlineStr">
        <is>
          <t>Finance / HR / Benefits</t>
        </is>
      </c>
      <c r="C11" s="23" t="inlineStr">
        <is>
          <t>Final approval; reimbursement with payroll; the wellbeing allowance is reduced for wellbeing claims.</t>
        </is>
      </c>
      <c r="D11" s="23" t="inlineStr">
        <is>
          <t>Reimbursed</t>
        </is>
      </c>
      <c r="E11" s="23" t="inlineStr">
        <is>
          <t>Expense reports / Budgets &amp;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2026-09-23T00:00:35Z</dcterms:created>
  <dcterms:modified xmlns:dcterms="http://purl.org/dc/terms/" xmlns:xsi="http://www.w3.org/2001/XMLSchema-instance" xsi:type="dcterms:W3CDTF">2026-09-23T00:00:35Z</dcterms:modified>
</cp:coreProperties>
</file>